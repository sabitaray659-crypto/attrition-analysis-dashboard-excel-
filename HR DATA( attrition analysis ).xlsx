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106D46BEB9AB8B31/Documents/"/>
    </mc:Choice>
  </mc:AlternateContent>
  <xr:revisionPtr revIDLastSave="2069" documentId="8_{F9C362AF-4F67-404B-B946-795164F4E6C2}" xr6:coauthVersionLast="47" xr6:coauthVersionMax="47" xr10:uidLastSave="{C9554A70-CB22-413F-B734-51AB1EF44188}"/>
  <bookViews>
    <workbookView xWindow="-108" yWindow="-108" windowWidth="23256" windowHeight="12456" activeTab="4" xr2:uid="{06B267F4-3259-4B96-BE59-3D92CB35AFDF}"/>
  </bookViews>
  <sheets>
    <sheet name="pivot tables" sheetId="2" r:id="rId1"/>
    <sheet name="dashboard" sheetId="5" r:id="rId2"/>
    <sheet name="RATING" sheetId="7" r:id="rId3"/>
    <sheet name="Sheet5" sheetId="11" r:id="rId4"/>
    <sheet name="HR data" sheetId="1" r:id="rId5"/>
  </sheets>
  <definedNames>
    <definedName name="_xlchart.v2.0" hidden="1">Sheet5!$D$4:$D$6</definedName>
    <definedName name="_xlchart.v2.1" hidden="1">Sheet5!$E$3</definedName>
    <definedName name="_xlchart.v2.2" hidden="1">Sheet5!$E$4:$E$6</definedName>
    <definedName name="_xlchart.v2.3" hidden="1">Sheet5!$D$4:$D$6</definedName>
    <definedName name="_xlchart.v2.4" hidden="1">Sheet5!$E$3</definedName>
    <definedName name="_xlchart.v2.5" hidden="1">Sheet5!$E$4:$E$6</definedName>
    <definedName name="Slicer_Attrition">#N/A</definedName>
    <definedName name="Slicer_Department">#N/A</definedName>
    <definedName name="Slicer_EducationField">#N/A</definedName>
    <definedName name="Slicer_Gender">#N/A</definedName>
    <definedName name="Slicer_Gender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1" l="1"/>
  <c r="D5" i="11"/>
  <c r="D4" i="11"/>
  <c r="B6" i="7"/>
  <c r="C6" i="7" s="1"/>
  <c r="B4" i="2"/>
  <c r="C4" i="2"/>
  <c r="A4" i="2"/>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2" i="1"/>
  <c r="G46" i="2"/>
  <c r="E6" i="11"/>
  <c r="E5" i="11"/>
  <c r="E4" i="11"/>
  <c r="C7" i="2" l="1"/>
  <c r="B7" i="7"/>
  <c r="C7" i="7" s="1"/>
  <c r="D4" i="2"/>
</calcChain>
</file>

<file path=xl/sharedStrings.xml><?xml version="1.0" encoding="utf-8"?>
<sst xmlns="http://schemas.openxmlformats.org/spreadsheetml/2006/main" count="13341" uniqueCount="85">
  <si>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</si>
  <si>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</si>
  <si>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</si>
  <si>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</si>
  <si>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</si>
  <si>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</si>
  <si>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</si>
  <si>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</si>
  <si>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</si>
  <si>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</si>
  <si>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</si>
  <si>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</si>
  <si>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</si>
  <si>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</si>
  <si>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</si>
  <si>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</si>
  <si>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</si>
  <si>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</si>
  <si>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</si>
  <si>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</si>
  <si>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</si>
  <si>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</si>
  <si>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</si>
  <si>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</si>
  <si>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</si>
  <si>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</si>
  <si>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</si>
  <si>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</si>
  <si>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</si>
  <si>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</si>
  <si>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</si>
  <si>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</si>
  <si>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</si>
  <si>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</si>
  <si>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</si>
  <si>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</si>
  <si>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</si>
  <si>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</si>
  <si>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</si>
  <si>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</si>
  <si>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</si>
  <si>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</si>
  <si>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</si>
  <si>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</si>
  <si>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</si>
  <si>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</si>
  <si>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</si>
  <si>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</si>
  <si>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</si>
  <si>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</si>
  <si>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</si>
  <si>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</si>
  <si>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</si>
  <si>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</si>
  <si>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</si>
  <si>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</si>
  <si>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</si>
  <si>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</si>
  <si>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</si>
  <si>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</si>
  <si>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</si>
  <si>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</si>
  <si>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EmployeeNumber</t>
  </si>
  <si>
    <t>Row Labels</t>
  </si>
  <si>
    <t>Grand Total</t>
  </si>
  <si>
    <t>Attrition Rate%</t>
  </si>
  <si>
    <t>Employee left (attrition count)</t>
  </si>
  <si>
    <t>Attrition by department</t>
  </si>
  <si>
    <t>Attrition by gender</t>
  </si>
  <si>
    <t>Attrition by age</t>
  </si>
  <si>
    <t>Age group</t>
  </si>
  <si>
    <t>18-25</t>
  </si>
  <si>
    <t>26-35</t>
  </si>
  <si>
    <t>36-45</t>
  </si>
  <si>
    <t>46+</t>
  </si>
  <si>
    <t>Average of Age</t>
  </si>
  <si>
    <t>total employee</t>
  </si>
  <si>
    <t>attrition count</t>
  </si>
  <si>
    <t>active employee</t>
  </si>
  <si>
    <t>average age</t>
  </si>
  <si>
    <t>attrition rate</t>
  </si>
  <si>
    <t>Average of JobSatisfaction</t>
  </si>
  <si>
    <t>rating</t>
  </si>
  <si>
    <t>balance rating</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</si>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</sst>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16" fillId="0" borderId="0" xfId="0" applyFont="1"/>
    <xf numFmtId="0" fontId="0" fillId="0" borderId="0" xfId="0" pivotButton="1"/>
    <xf numFmtId="0" fontId="0" fillId="0" borderId="0" xfId="0" applyAlignment="1">
      <alignment horizontal="left"/>
    </xf>
    <xf numFmtId="10" fontId="0" fillId="0" borderId="0" xfId="0" applyNumberFormat="1"/>
    <xf numFmtId="10" fontId="0" fillId="0" borderId="0" xfId="42" applyNumberFormat="1" applyFont="1"/>
    <xf numFmtId="164" fontId="0" fillId="0" borderId="0" xfId="0" applyNumberFormat="1"/>
    <xf numFmtId="1" fontId="0" fillId="0" borderId="0" xfId="0" applyNumberFormat="1"/>
    <xf numFmtId="0" fontId="0" fillId="33" borderId="0" xfId="0" applyFill="1"/>
    <xf numFmtId="0" fontId="0" fillId="34"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ill>
        <patternFill>
          <bgColor theme="9" tint="-0.24994659260841701"/>
        </patternFill>
      </fill>
    </dxf>
  </dxfs>
  <tableStyles count="1" defaultTableStyle="TableStyleMedium2" defaultPivotStyle="PivotStyleLight16">
    <tableStyle name="SLICRE" pivot="0" table="0" count="1" xr9:uid="{173B761F-AEDA-4AA9-A97C-01A2CDD6344E}">
      <tableStyleElement type="wholeTable" dxfId="9"/>
    </tableStyle>
  </tableStyles>
  <colors>
    <mruColors>
      <color rgb="FF602928"/>
      <color rgb="FFCE2518"/>
      <color rgb="FFCE18A3"/>
      <color rgb="FF610B4D"/>
      <color rgb="FFFEF0FE"/>
    </mruColors>
  </colors>
  <extLst>
    <ext xmlns:x14="http://schemas.microsoft.com/office/spreadsheetml/2009/9/main" uri="{EB79DEF2-80B8-43e5-95BD-54CBDDF9020C}">
      <x14:slicerStyles defaultSlicerStyle="SlicerStyleLight1">
        <x14:slicerStyle name="SLICR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attrition analysis ).xlsx]pivot tables!attrition by educsational field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tables'!$D$34:$D$38</c:f>
              <c:strCache>
                <c:ptCount val="4"/>
                <c:pt idx="0">
                  <c:v>Other</c:v>
                </c:pt>
                <c:pt idx="1">
                  <c:v>Technical Degree</c:v>
                </c:pt>
                <c:pt idx="2">
                  <c:v>Medical</c:v>
                </c:pt>
                <c:pt idx="3">
                  <c:v>Life Sciences</c:v>
                </c:pt>
              </c:strCache>
            </c:strRef>
          </c:cat>
          <c:val>
            <c:numRef>
              <c:f>'pivot tables'!$E$34:$E$38</c:f>
              <c:numCache>
                <c:formatCode>General</c:formatCode>
                <c:ptCount val="4"/>
                <c:pt idx="0">
                  <c:v>7</c:v>
                </c:pt>
                <c:pt idx="1">
                  <c:v>20</c:v>
                </c:pt>
                <c:pt idx="2">
                  <c:v>47</c:v>
                </c:pt>
                <c:pt idx="3">
                  <c:v>59</c:v>
                </c:pt>
              </c:numCache>
            </c:numRef>
          </c:val>
          <c:extLst>
            <c:ext xmlns:c16="http://schemas.microsoft.com/office/drawing/2014/chart" uri="{C3380CC4-5D6E-409C-BE32-E72D297353CC}">
              <c16:uniqueId val="{00000000-650E-40AD-9CD1-99491C3DC15F}"/>
            </c:ext>
          </c:extLst>
        </c:ser>
        <c:dLbls>
          <c:dLblPos val="outEnd"/>
          <c:showLegendKey val="0"/>
          <c:showVal val="1"/>
          <c:showCatName val="0"/>
          <c:showSerName val="0"/>
          <c:showPercent val="0"/>
          <c:showBubbleSize val="0"/>
        </c:dLbls>
        <c:gapWidth val="182"/>
        <c:axId val="1308031503"/>
        <c:axId val="1308019503"/>
      </c:barChart>
      <c:catAx>
        <c:axId val="1308031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19503"/>
        <c:crosses val="autoZero"/>
        <c:auto val="1"/>
        <c:lblAlgn val="ctr"/>
        <c:lblOffset val="100"/>
        <c:noMultiLvlLbl val="0"/>
      </c:catAx>
      <c:valAx>
        <c:axId val="1308019503"/>
        <c:scaling>
          <c:orientation val="minMax"/>
        </c:scaling>
        <c:delete val="1"/>
        <c:axPos val="b"/>
        <c:numFmt formatCode="General" sourceLinked="1"/>
        <c:majorTickMark val="out"/>
        <c:minorTickMark val="none"/>
        <c:tickLblPos val="nextTo"/>
        <c:crossAx val="13080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55000">
                    <a:schemeClr val="accent6"/>
                  </a:gs>
                  <a:gs pos="100000">
                    <a:schemeClr val="accent1">
                      <a:lumMod val="75000"/>
                    </a:schemeClr>
                  </a:gs>
                  <a:gs pos="100000">
                    <a:schemeClr val="accent1">
                      <a:lumMod val="45000"/>
                      <a:lumOff val="55000"/>
                    </a:schemeClr>
                  </a:gs>
                  <a:gs pos="100000">
                    <a:schemeClr val="accent1">
                      <a:lumMod val="30000"/>
                      <a:lumOff val="70000"/>
                    </a:schemeClr>
                  </a:gs>
                </a:gsLst>
                <a:lin ang="5400000" scaled="1"/>
              </a:gradFill>
              <a:ln w="19050">
                <a:solidFill>
                  <a:schemeClr val="lt1">
                    <a:shade val="50000"/>
                    <a:alpha val="1000"/>
                  </a:schemeClr>
                </a:solidFill>
              </a:ln>
              <a:effectLst/>
            </c:spPr>
            <c:extLst>
              <c:ext xmlns:c16="http://schemas.microsoft.com/office/drawing/2014/chart" uri="{C3380CC4-5D6E-409C-BE32-E72D297353CC}">
                <c16:uniqueId val="{00000001-C4E4-4A92-87A3-572EAF3C0A76}"/>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C4E4-4A92-87A3-572EAF3C0A76}"/>
              </c:ext>
            </c:extLst>
          </c:dPt>
          <c:val>
            <c:numRef>
              <c:f>RATING!$C$6:$C$7</c:f>
              <c:numCache>
                <c:formatCode>General</c:formatCode>
                <c:ptCount val="2"/>
                <c:pt idx="0">
                  <c:v>0.69545454545454544</c:v>
                </c:pt>
                <c:pt idx="1">
                  <c:v>0.30454545454545456</c:v>
                </c:pt>
              </c:numCache>
            </c:numRef>
          </c:val>
          <c:extLst>
            <c:ext xmlns:c16="http://schemas.microsoft.com/office/drawing/2014/chart" uri="{C3380CC4-5D6E-409C-BE32-E72D297353CC}">
              <c16:uniqueId val="{00000004-C4E4-4A92-87A3-572EAF3C0A76}"/>
            </c:ext>
          </c:extLst>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914260717410324E-2"/>
          <c:y val="0.27777777777777779"/>
          <c:w val="0.89971084864391948"/>
          <c:h val="0.61482283464566923"/>
        </c:manualLayout>
      </c:layout>
      <c:barChart>
        <c:barDir val="bar"/>
        <c:grouping val="stacked"/>
        <c:varyColors val="0"/>
        <c:ser>
          <c:idx val="0"/>
          <c:order val="0"/>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2039-4F86-BB37-283065A707FC}"/>
              </c:ext>
            </c:extLst>
          </c:dPt>
          <c:val>
            <c:numRef>
              <c:f>RATING!$B$6</c:f>
              <c:numCache>
                <c:formatCode>0.0</c:formatCode>
                <c:ptCount val="1"/>
                <c:pt idx="0">
                  <c:v>2.7818181818181817</c:v>
                </c:pt>
              </c:numCache>
            </c:numRef>
          </c:val>
          <c:extLst>
            <c:ext xmlns:c16="http://schemas.microsoft.com/office/drawing/2014/chart" uri="{C3380CC4-5D6E-409C-BE32-E72D297353CC}">
              <c16:uniqueId val="{00000000-2039-4F86-BB37-283065A707FC}"/>
            </c:ext>
          </c:extLst>
        </c:ser>
        <c:ser>
          <c:idx val="1"/>
          <c:order val="1"/>
          <c:spPr>
            <a:solidFill>
              <a:schemeClr val="bg1"/>
            </a:solidFill>
            <a:ln>
              <a:noFill/>
            </a:ln>
            <a:effectLst/>
          </c:spPr>
          <c:invertIfNegative val="0"/>
          <c:val>
            <c:numRef>
              <c:f>RATING!$B$7</c:f>
              <c:numCache>
                <c:formatCode>0.0</c:formatCode>
                <c:ptCount val="1"/>
                <c:pt idx="0">
                  <c:v>1.2181818181818183</c:v>
                </c:pt>
              </c:numCache>
            </c:numRef>
          </c:val>
          <c:extLst>
            <c:ext xmlns:c16="http://schemas.microsoft.com/office/drawing/2014/chart" uri="{C3380CC4-5D6E-409C-BE32-E72D297353CC}">
              <c16:uniqueId val="{00000001-2039-4F86-BB37-283065A707FC}"/>
            </c:ext>
          </c:extLst>
        </c:ser>
        <c:dLbls>
          <c:showLegendKey val="0"/>
          <c:showVal val="0"/>
          <c:showCatName val="0"/>
          <c:showSerName val="0"/>
          <c:showPercent val="0"/>
          <c:showBubbleSize val="0"/>
        </c:dLbls>
        <c:gapWidth val="0"/>
        <c:overlap val="100"/>
        <c:axId val="942665151"/>
        <c:axId val="942666111"/>
      </c:barChart>
      <c:catAx>
        <c:axId val="942665151"/>
        <c:scaling>
          <c:orientation val="minMax"/>
        </c:scaling>
        <c:delete val="1"/>
        <c:axPos val="l"/>
        <c:majorTickMark val="out"/>
        <c:minorTickMark val="none"/>
        <c:tickLblPos val="nextTo"/>
        <c:crossAx val="942666111"/>
        <c:crosses val="autoZero"/>
        <c:auto val="1"/>
        <c:lblAlgn val="ctr"/>
        <c:lblOffset val="100"/>
        <c:noMultiLvlLbl val="0"/>
      </c:catAx>
      <c:valAx>
        <c:axId val="942666111"/>
        <c:scaling>
          <c:orientation val="minMax"/>
          <c:max val="4"/>
          <c:min val="0"/>
        </c:scaling>
        <c:delete val="1"/>
        <c:axPos val="b"/>
        <c:majorGridlines>
          <c:spPr>
            <a:ln w="9525" cap="flat" cmpd="sng" algn="ctr">
              <a:noFill/>
              <a:round/>
            </a:ln>
            <a:effectLst/>
          </c:spPr>
        </c:majorGridlines>
        <c:numFmt formatCode="0.0" sourceLinked="1"/>
        <c:majorTickMark val="out"/>
        <c:minorTickMark val="none"/>
        <c:tickLblPos val="nextTo"/>
        <c:crossAx val="94266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attrition analysis ).xlsx]pivot tables!attrition by jobrole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0">
                <a:schemeClr val="accent6">
                  <a:lumMod val="50000"/>
                </a:schemeClr>
              </a:gs>
              <a:gs pos="87000">
                <a:schemeClr val="accent6">
                  <a:lumMod val="60000"/>
                  <a:lumOff val="40000"/>
                </a:schemeClr>
              </a:gs>
              <a:gs pos="100000">
                <a:schemeClr val="accent6">
                  <a:lumMod val="75000"/>
                </a:schemeClr>
              </a:gs>
              <a:gs pos="98000">
                <a:schemeClr val="accent6">
                  <a:lumMod val="75000"/>
                </a:schemeClr>
              </a:gs>
            </a:gsLst>
            <a:lin ang="5400000" scaled="1"/>
          </a:gradFill>
          <a:ln>
            <a:gradFill>
              <a:gsLst>
                <a:gs pos="0">
                  <a:schemeClr val="accent6">
                    <a:lumMod val="50000"/>
                  </a:schemeClr>
                </a:gs>
                <a:gs pos="0">
                  <a:schemeClr val="accent1">
                    <a:lumMod val="5000"/>
                    <a:lumOff val="95000"/>
                  </a:schemeClr>
                </a:gs>
                <a:gs pos="74000">
                  <a:schemeClr val="accent1">
                    <a:lumMod val="45000"/>
                    <a:lumOff val="55000"/>
                  </a:schemeClr>
                </a:gs>
                <a:gs pos="69000">
                  <a:schemeClr val="accent1">
                    <a:lumMod val="45000"/>
                    <a:lumOff val="55000"/>
                  </a:schemeClr>
                </a:gs>
                <a:gs pos="98000">
                  <a:schemeClr val="accent6">
                    <a:lumMod val="60000"/>
                    <a:lumOff val="4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50000"/>
                </a:schemeClr>
              </a:gs>
              <a:gs pos="0">
                <a:schemeClr val="accent6">
                  <a:lumMod val="50000"/>
                </a:schemeClr>
              </a:gs>
              <a:gs pos="87000">
                <a:schemeClr val="accent6">
                  <a:lumMod val="60000"/>
                  <a:lumOff val="40000"/>
                </a:schemeClr>
              </a:gs>
              <a:gs pos="100000">
                <a:schemeClr val="accent6">
                  <a:lumMod val="75000"/>
                </a:schemeClr>
              </a:gs>
              <a:gs pos="98000">
                <a:schemeClr val="accent6">
                  <a:lumMod val="75000"/>
                </a:schemeClr>
              </a:gs>
            </a:gsLst>
            <a:lin ang="5400000" scaled="1"/>
          </a:gradFill>
          <a:ln>
            <a:gradFill>
              <a:gsLst>
                <a:gs pos="0">
                  <a:schemeClr val="accent6">
                    <a:lumMod val="50000"/>
                  </a:schemeClr>
                </a:gs>
                <a:gs pos="0">
                  <a:schemeClr val="accent1">
                    <a:lumMod val="5000"/>
                    <a:lumOff val="95000"/>
                  </a:schemeClr>
                </a:gs>
                <a:gs pos="74000">
                  <a:schemeClr val="accent1">
                    <a:lumMod val="45000"/>
                    <a:lumOff val="55000"/>
                  </a:schemeClr>
                </a:gs>
                <a:gs pos="69000">
                  <a:schemeClr val="accent1">
                    <a:lumMod val="45000"/>
                    <a:lumOff val="55000"/>
                  </a:schemeClr>
                </a:gs>
                <a:gs pos="98000">
                  <a:schemeClr val="accent6">
                    <a:lumMod val="60000"/>
                    <a:lumOff val="40000"/>
                  </a:schemeClr>
                </a:gs>
              </a:gsLst>
              <a:lin ang="5400000" scaled="1"/>
            </a:gradFill>
          </a:ln>
          <a:effectLst/>
        </c:spPr>
      </c:pivotFmt>
    </c:pivotFmts>
    <c:plotArea>
      <c:layout>
        <c:manualLayout>
          <c:layoutTarget val="inner"/>
          <c:xMode val="edge"/>
          <c:yMode val="edge"/>
          <c:x val="0.29863190299424491"/>
          <c:y val="7.4920788829562449E-2"/>
          <c:w val="0.66057362089709792"/>
          <c:h val="0.85015842234087513"/>
        </c:manualLayout>
      </c:layout>
      <c:barChart>
        <c:barDir val="bar"/>
        <c:grouping val="clustered"/>
        <c:varyColors val="0"/>
        <c:ser>
          <c:idx val="0"/>
          <c:order val="0"/>
          <c:tx>
            <c:strRef>
              <c:f>'pivot tables'!$B$32</c:f>
              <c:strCache>
                <c:ptCount val="1"/>
                <c:pt idx="0">
                  <c:v>Total</c:v>
                </c:pt>
              </c:strCache>
            </c:strRef>
          </c:tx>
          <c:spPr>
            <a:gradFill>
              <a:gsLst>
                <a:gs pos="0">
                  <a:schemeClr val="accent6">
                    <a:lumMod val="50000"/>
                  </a:schemeClr>
                </a:gs>
                <a:gs pos="0">
                  <a:schemeClr val="accent6">
                    <a:lumMod val="50000"/>
                  </a:schemeClr>
                </a:gs>
                <a:gs pos="87000">
                  <a:schemeClr val="accent6">
                    <a:lumMod val="60000"/>
                    <a:lumOff val="40000"/>
                  </a:schemeClr>
                </a:gs>
                <a:gs pos="100000">
                  <a:schemeClr val="accent6">
                    <a:lumMod val="75000"/>
                  </a:schemeClr>
                </a:gs>
                <a:gs pos="98000">
                  <a:schemeClr val="accent6">
                    <a:lumMod val="75000"/>
                  </a:schemeClr>
                </a:gs>
              </a:gsLst>
              <a:lin ang="5400000" scaled="1"/>
            </a:gradFill>
            <a:ln>
              <a:gradFill>
                <a:gsLst>
                  <a:gs pos="0">
                    <a:schemeClr val="accent6">
                      <a:lumMod val="50000"/>
                    </a:schemeClr>
                  </a:gs>
                  <a:gs pos="0">
                    <a:schemeClr val="accent1">
                      <a:lumMod val="5000"/>
                      <a:lumOff val="95000"/>
                    </a:schemeClr>
                  </a:gs>
                  <a:gs pos="74000">
                    <a:schemeClr val="accent1">
                      <a:lumMod val="45000"/>
                      <a:lumOff val="55000"/>
                    </a:schemeClr>
                  </a:gs>
                  <a:gs pos="69000">
                    <a:schemeClr val="accent1">
                      <a:lumMod val="45000"/>
                      <a:lumOff val="55000"/>
                    </a:schemeClr>
                  </a:gs>
                  <a:gs pos="98000">
                    <a:schemeClr val="accent6">
                      <a:lumMod val="60000"/>
                      <a:lumOff val="4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Research Director</c:v>
                </c:pt>
                <c:pt idx="1">
                  <c:v>Manager</c:v>
                </c:pt>
                <c:pt idx="2">
                  <c:v>Healthcare Representative</c:v>
                </c:pt>
                <c:pt idx="3">
                  <c:v>Manufacturing Director</c:v>
                </c:pt>
                <c:pt idx="4">
                  <c:v>Research Scientist</c:v>
                </c:pt>
                <c:pt idx="5">
                  <c:v>Laboratory Technician</c:v>
                </c:pt>
              </c:strCache>
            </c:strRef>
          </c:cat>
          <c:val>
            <c:numRef>
              <c:f>'pivot tables'!$B$33:$B$39</c:f>
              <c:numCache>
                <c:formatCode>General</c:formatCode>
                <c:ptCount val="6"/>
                <c:pt idx="0">
                  <c:v>2</c:v>
                </c:pt>
                <c:pt idx="1">
                  <c:v>3</c:v>
                </c:pt>
                <c:pt idx="2">
                  <c:v>9</c:v>
                </c:pt>
                <c:pt idx="3">
                  <c:v>10</c:v>
                </c:pt>
                <c:pt idx="4">
                  <c:v>47</c:v>
                </c:pt>
                <c:pt idx="5">
                  <c:v>62</c:v>
                </c:pt>
              </c:numCache>
            </c:numRef>
          </c:val>
          <c:extLst>
            <c:ext xmlns:c16="http://schemas.microsoft.com/office/drawing/2014/chart" uri="{C3380CC4-5D6E-409C-BE32-E72D297353CC}">
              <c16:uniqueId val="{00000000-F295-4F8D-9E80-F77C3D38BF52}"/>
            </c:ext>
          </c:extLst>
        </c:ser>
        <c:dLbls>
          <c:dLblPos val="outEnd"/>
          <c:showLegendKey val="0"/>
          <c:showVal val="1"/>
          <c:showCatName val="0"/>
          <c:showSerName val="0"/>
          <c:showPercent val="0"/>
          <c:showBubbleSize val="0"/>
        </c:dLbls>
        <c:gapWidth val="64"/>
        <c:axId val="1158632687"/>
        <c:axId val="1158639407"/>
      </c:barChart>
      <c:catAx>
        <c:axId val="1158632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8639407"/>
        <c:crosses val="autoZero"/>
        <c:auto val="1"/>
        <c:lblAlgn val="ctr"/>
        <c:lblOffset val="100"/>
        <c:noMultiLvlLbl val="0"/>
      </c:catAx>
      <c:valAx>
        <c:axId val="11586394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3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attrition analysis ).xlsx]pivot tables!attrition by department</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tables'!$B$22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64-41FA-8ABE-8C06C29C9F0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64-41FA-8ABE-8C06C29C9F0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564-41FA-8ABE-8C06C29C9F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tables'!$A$23:$A$24</c:f>
              <c:strCache>
                <c:ptCount val="1"/>
                <c:pt idx="0">
                  <c:v>Research &amp; Development</c:v>
                </c:pt>
              </c:strCache>
            </c:strRef>
          </c:cat>
          <c:val>
            <c:numRef>
              <c:f>'pivot tables'!$B$23:$B$24</c:f>
              <c:numCache>
                <c:formatCode>0.00%</c:formatCode>
                <c:ptCount val="1"/>
                <c:pt idx="0">
                  <c:v>1</c:v>
                </c:pt>
              </c:numCache>
            </c:numRef>
          </c:val>
          <c:extLst>
            <c:ext xmlns:c16="http://schemas.microsoft.com/office/drawing/2014/chart" uri="{C3380CC4-5D6E-409C-BE32-E72D297353CC}">
              <c16:uniqueId val="{00000006-9564-41FA-8ABE-8C06C29C9F0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attrition analysis ).xlsx]pivot tables!attrition by educsational field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2000">
                <a:srgbClr val="FF0000"/>
              </a:gs>
              <a:gs pos="74000">
                <a:srgbClr val="FF0000"/>
              </a:gs>
              <a:gs pos="39000">
                <a:srgbClr val="FF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tables'!$E$33</c:f>
              <c:strCache>
                <c:ptCount val="1"/>
                <c:pt idx="0">
                  <c:v>Total</c:v>
                </c:pt>
              </c:strCache>
            </c:strRef>
          </c:tx>
          <c:spPr>
            <a:gradFill>
              <a:gsLst>
                <a:gs pos="0">
                  <a:schemeClr val="accent6">
                    <a:lumMod val="50000"/>
                  </a:schemeClr>
                </a:gs>
                <a:gs pos="2000">
                  <a:srgbClr val="FF0000"/>
                </a:gs>
                <a:gs pos="74000">
                  <a:srgbClr val="FF0000"/>
                </a:gs>
                <a:gs pos="39000">
                  <a:srgbClr val="FF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tables'!$D$34:$D$38</c:f>
              <c:strCache>
                <c:ptCount val="4"/>
                <c:pt idx="0">
                  <c:v>Other</c:v>
                </c:pt>
                <c:pt idx="1">
                  <c:v>Technical Degree</c:v>
                </c:pt>
                <c:pt idx="2">
                  <c:v>Medical</c:v>
                </c:pt>
                <c:pt idx="3">
                  <c:v>Life Sciences</c:v>
                </c:pt>
              </c:strCache>
            </c:strRef>
          </c:cat>
          <c:val>
            <c:numRef>
              <c:f>'pivot tables'!$E$34:$E$38</c:f>
              <c:numCache>
                <c:formatCode>General</c:formatCode>
                <c:ptCount val="4"/>
                <c:pt idx="0">
                  <c:v>7</c:v>
                </c:pt>
                <c:pt idx="1">
                  <c:v>20</c:v>
                </c:pt>
                <c:pt idx="2">
                  <c:v>47</c:v>
                </c:pt>
                <c:pt idx="3">
                  <c:v>59</c:v>
                </c:pt>
              </c:numCache>
            </c:numRef>
          </c:val>
          <c:extLst>
            <c:ext xmlns:c16="http://schemas.microsoft.com/office/drawing/2014/chart" uri="{C3380CC4-5D6E-409C-BE32-E72D297353CC}">
              <c16:uniqueId val="{00000000-6C03-4F62-B950-236300B276BA}"/>
            </c:ext>
          </c:extLst>
        </c:ser>
        <c:dLbls>
          <c:dLblPos val="outEnd"/>
          <c:showLegendKey val="0"/>
          <c:showVal val="1"/>
          <c:showCatName val="0"/>
          <c:showSerName val="0"/>
          <c:showPercent val="0"/>
          <c:showBubbleSize val="0"/>
        </c:dLbls>
        <c:gapWidth val="78"/>
        <c:axId val="1308031503"/>
        <c:axId val="1308019503"/>
      </c:barChart>
      <c:catAx>
        <c:axId val="1308031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8019503"/>
        <c:crosses val="autoZero"/>
        <c:auto val="1"/>
        <c:lblAlgn val="ctr"/>
        <c:lblOffset val="100"/>
        <c:noMultiLvlLbl val="0"/>
      </c:catAx>
      <c:valAx>
        <c:axId val="1308019503"/>
        <c:scaling>
          <c:orientation val="minMax"/>
        </c:scaling>
        <c:delete val="1"/>
        <c:axPos val="b"/>
        <c:numFmt formatCode="General" sourceLinked="1"/>
        <c:majorTickMark val="out"/>
        <c:minorTickMark val="none"/>
        <c:tickLblPos val="nextTo"/>
        <c:crossAx val="13080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attrition analysis ).xlsx]pivot tables!attrition by agegroup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19260745492964E-3"/>
          <c:y val="1.7042754371303631E-5"/>
          <c:w val="0.92666666666666664"/>
          <c:h val="0.79001443569553809"/>
        </c:manualLayout>
      </c:layout>
      <c:barChart>
        <c:barDir val="col"/>
        <c:grouping val="clustered"/>
        <c:varyColors val="0"/>
        <c:ser>
          <c:idx val="0"/>
          <c:order val="0"/>
          <c:tx>
            <c:strRef>
              <c:f>'pivot tables'!$E$22</c:f>
              <c:strCache>
                <c:ptCount val="1"/>
                <c:pt idx="0">
                  <c:v>Total</c:v>
                </c:pt>
              </c:strCache>
            </c:strRef>
          </c:tx>
          <c:spPr>
            <a:solidFill>
              <a:schemeClr val="accent2"/>
            </a:solidFill>
            <a:ln w="0">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tables'!$D$23:$D$27</c:f>
              <c:strCache>
                <c:ptCount val="4"/>
                <c:pt idx="0">
                  <c:v>46+</c:v>
                </c:pt>
                <c:pt idx="1">
                  <c:v>18-25</c:v>
                </c:pt>
                <c:pt idx="2">
                  <c:v>36-45</c:v>
                </c:pt>
                <c:pt idx="3">
                  <c:v>26-35</c:v>
                </c:pt>
              </c:strCache>
            </c:strRef>
          </c:cat>
          <c:val>
            <c:numRef>
              <c:f>'pivot tables'!$E$23:$E$27</c:f>
              <c:numCache>
                <c:formatCode>General</c:formatCode>
                <c:ptCount val="4"/>
                <c:pt idx="0">
                  <c:v>17</c:v>
                </c:pt>
                <c:pt idx="1">
                  <c:v>24</c:v>
                </c:pt>
                <c:pt idx="2">
                  <c:v>25</c:v>
                </c:pt>
                <c:pt idx="3">
                  <c:v>67</c:v>
                </c:pt>
              </c:numCache>
            </c:numRef>
          </c:val>
          <c:extLst>
            <c:ext xmlns:c16="http://schemas.microsoft.com/office/drawing/2014/chart" uri="{C3380CC4-5D6E-409C-BE32-E72D297353CC}">
              <c16:uniqueId val="{00000000-B087-4644-A6FA-74C4A9E75A4B}"/>
            </c:ext>
          </c:extLst>
        </c:ser>
        <c:dLbls>
          <c:dLblPos val="outEnd"/>
          <c:showLegendKey val="0"/>
          <c:showVal val="1"/>
          <c:showCatName val="0"/>
          <c:showSerName val="0"/>
          <c:showPercent val="0"/>
          <c:showBubbleSize val="0"/>
        </c:dLbls>
        <c:gapWidth val="99"/>
        <c:overlap val="-27"/>
        <c:axId val="1022466495"/>
        <c:axId val="1022471295"/>
      </c:barChart>
      <c:catAx>
        <c:axId val="102246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22471295"/>
        <c:crosses val="autoZero"/>
        <c:auto val="1"/>
        <c:lblAlgn val="ctr"/>
        <c:lblOffset val="100"/>
        <c:noMultiLvlLbl val="0"/>
      </c:catAx>
      <c:valAx>
        <c:axId val="1022471295"/>
        <c:scaling>
          <c:orientation val="minMax"/>
        </c:scaling>
        <c:delete val="1"/>
        <c:axPos val="l"/>
        <c:numFmt formatCode="General" sourceLinked="1"/>
        <c:majorTickMark val="none"/>
        <c:minorTickMark val="none"/>
        <c:tickLblPos val="nextTo"/>
        <c:crossAx val="1022466495"/>
        <c:crosses val="autoZero"/>
        <c:crossBetween val="between"/>
      </c:valAx>
      <c:spPr>
        <a:no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B2-4E9E-B357-AE496417C4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B2-4E9E-B357-AE496417C41C}"/>
              </c:ext>
            </c:extLst>
          </c:dPt>
          <c:val>
            <c:numRef>
              <c:f>RATING!$C$6:$C$7</c:f>
              <c:numCache>
                <c:formatCode>General</c:formatCode>
                <c:ptCount val="2"/>
                <c:pt idx="0">
                  <c:v>0.69545454545454544</c:v>
                </c:pt>
                <c:pt idx="1">
                  <c:v>0.30454545454545456</c:v>
                </c:pt>
              </c:numCache>
            </c:numRef>
          </c:val>
          <c:extLst>
            <c:ext xmlns:c16="http://schemas.microsoft.com/office/drawing/2014/chart" uri="{C3380CC4-5D6E-409C-BE32-E72D297353CC}">
              <c16:uniqueId val="{00000000-8366-4DFD-915B-05F6E52FBB6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914260717410324E-2"/>
          <c:y val="0.27777777777777779"/>
          <c:w val="0.89971084864391948"/>
          <c:h val="0.61482283464566923"/>
        </c:manualLayout>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2.7818181818181817</c:v>
                </c:pt>
              </c:numCache>
            </c:numRef>
          </c:val>
          <c:extLst>
            <c:ext xmlns:c16="http://schemas.microsoft.com/office/drawing/2014/chart" uri="{C3380CC4-5D6E-409C-BE32-E72D297353CC}">
              <c16:uniqueId val="{00000000-1F15-4074-9415-0170A25ECA03}"/>
            </c:ext>
          </c:extLst>
        </c:ser>
        <c:ser>
          <c:idx val="1"/>
          <c:order val="1"/>
          <c:spPr>
            <a:solidFill>
              <a:schemeClr val="accent2"/>
            </a:solidFill>
            <a:ln>
              <a:noFill/>
            </a:ln>
            <a:effectLst/>
          </c:spPr>
          <c:invertIfNegative val="0"/>
          <c:val>
            <c:numRef>
              <c:f>RATING!$B$7</c:f>
              <c:numCache>
                <c:formatCode>0.0</c:formatCode>
                <c:ptCount val="1"/>
                <c:pt idx="0">
                  <c:v>1.2181818181818183</c:v>
                </c:pt>
              </c:numCache>
            </c:numRef>
          </c:val>
          <c:extLst>
            <c:ext xmlns:c16="http://schemas.microsoft.com/office/drawing/2014/chart" uri="{C3380CC4-5D6E-409C-BE32-E72D297353CC}">
              <c16:uniqueId val="{00000001-1F15-4074-9415-0170A25ECA03}"/>
            </c:ext>
          </c:extLst>
        </c:ser>
        <c:dLbls>
          <c:showLegendKey val="0"/>
          <c:showVal val="0"/>
          <c:showCatName val="0"/>
          <c:showSerName val="0"/>
          <c:showPercent val="0"/>
          <c:showBubbleSize val="0"/>
        </c:dLbls>
        <c:gapWidth val="0"/>
        <c:overlap val="100"/>
        <c:axId val="942665151"/>
        <c:axId val="942666111"/>
      </c:barChart>
      <c:catAx>
        <c:axId val="942665151"/>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666111"/>
        <c:crosses val="autoZero"/>
        <c:auto val="1"/>
        <c:lblAlgn val="ctr"/>
        <c:lblOffset val="100"/>
        <c:noMultiLvlLbl val="0"/>
      </c:catAx>
      <c:valAx>
        <c:axId val="942666111"/>
        <c:scaling>
          <c:orientation val="minMax"/>
          <c:max val="4"/>
          <c:min val="0"/>
        </c:scaling>
        <c:delete val="1"/>
        <c:axPos val="b"/>
        <c:majorGridlines>
          <c:spPr>
            <a:ln w="9525" cap="flat" cmpd="sng" algn="ctr">
              <a:noFill/>
              <a:round/>
            </a:ln>
            <a:effectLst/>
          </c:spPr>
        </c:majorGridlines>
        <c:numFmt formatCode="0.0" sourceLinked="1"/>
        <c:majorTickMark val="out"/>
        <c:minorTickMark val="none"/>
        <c:tickLblPos val="nextTo"/>
        <c:crossAx val="94266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C71B66A-B406-41E1-BDD9-7D64E28511FE}">
          <cx:tx>
            <cx:txData>
              <cx:f>_xlchart.v2.1</cx:f>
              <cx:v>Attrition</cx:v>
            </cx:txData>
          </cx:tx>
          <cx:spPr>
            <a:gradFill>
              <a:gsLst>
                <a:gs pos="53417">
                  <a:srgbClr val="4C7630"/>
                </a:gs>
                <a:gs pos="0">
                  <a:schemeClr val="accent6">
                    <a:lumMod val="50000"/>
                  </a:schemeClr>
                </a:gs>
                <a:gs pos="25456">
                  <a:srgbClr val="426629"/>
                </a:gs>
                <a:gs pos="74000">
                  <a:schemeClr val="accent6">
                    <a:lumMod val="75000"/>
                  </a:schemeClr>
                </a:gs>
                <a:gs pos="83000">
                  <a:schemeClr val="accent6">
                    <a:lumMod val="75000"/>
                  </a:schemeClr>
                </a:gs>
                <a:gs pos="100000">
                  <a:schemeClr val="accent6">
                    <a:lumMod val="75000"/>
                  </a:schemeClr>
                </a:gs>
              </a:gsLst>
              <a:lin ang="5400000" scaled="1"/>
            </a:gradFill>
            <a:ln>
              <a:gradFill>
                <a:gsLst>
                  <a:gs pos="53417">
                    <a:srgbClr val="4C7630"/>
                  </a:gs>
                  <a:gs pos="0">
                    <a:schemeClr val="accent6">
                      <a:lumMod val="50000"/>
                    </a:schemeClr>
                  </a:gs>
                  <a:gs pos="25456">
                    <a:srgbClr val="426629"/>
                  </a:gs>
                  <a:gs pos="74000">
                    <a:schemeClr val="accent6">
                      <a:lumMod val="75000"/>
                    </a:schemeClr>
                  </a:gs>
                  <a:gs pos="83000">
                    <a:schemeClr val="accent6">
                      <a:lumMod val="75000"/>
                    </a:schemeClr>
                  </a:gs>
                  <a:gs pos="100000">
                    <a:schemeClr val="accent6">
                      <a:lumMod val="75000"/>
                    </a:schemeClr>
                  </a:gs>
                </a:gsLst>
                <a:lin ang="5400000" scaled="1"/>
              </a:gradFill>
            </a:ln>
          </cx:spPr>
          <cx:dataLabels>
            <cx:visibility seriesName="0" categoryName="0" value="1"/>
          </cx:dataLabels>
          <cx:dataId val="0"/>
        </cx:series>
      </cx:plotAreaRegion>
      <cx:axis id="0">
        <cx:catScaling gapWidth="0.0599999987"/>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C71B66A-B406-41E1-BDD9-7D64E28511FE}">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chart" Target="../charts/chart6.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chart" Target="../charts/chart5.xml"/><Relationship Id="rId5" Type="http://schemas.openxmlformats.org/officeDocument/2006/relationships/image" Target="../media/image5.jpeg"/><Relationship Id="rId10" Type="http://schemas.openxmlformats.org/officeDocument/2006/relationships/chart" Target="../charts/chart4.xml"/><Relationship Id="rId4" Type="http://schemas.openxmlformats.org/officeDocument/2006/relationships/image" Target="../media/image4.jpeg"/><Relationship Id="rId9" Type="http://schemas.openxmlformats.org/officeDocument/2006/relationships/chart" Target="../charts/chart3.xml"/><Relationship Id="rId14"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495300</xdr:colOff>
      <xdr:row>31</xdr:row>
      <xdr:rowOff>3810</xdr:rowOff>
    </xdr:from>
    <xdr:to>
      <xdr:col>11</xdr:col>
      <xdr:colOff>60960</xdr:colOff>
      <xdr:row>40</xdr:row>
      <xdr:rowOff>91440</xdr:rowOff>
    </xdr:to>
    <xdr:graphicFrame macro="">
      <xdr:nvGraphicFramePr>
        <xdr:cNvPr id="9" name="Chart 8">
          <a:extLst>
            <a:ext uri="{FF2B5EF4-FFF2-40B4-BE49-F238E27FC236}">
              <a16:creationId xmlns:a16="http://schemas.microsoft.com/office/drawing/2014/main" id="{2E13DAE6-C571-2E55-3476-A0D396B541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175260</xdr:colOff>
      <xdr:row>15</xdr:row>
      <xdr:rowOff>99060</xdr:rowOff>
    </xdr:from>
    <xdr:to>
      <xdr:col>9</xdr:col>
      <xdr:colOff>175260</xdr:colOff>
      <xdr:row>29</xdr:row>
      <xdr:rowOff>5715</xdr:rowOff>
    </xdr:to>
    <mc:AlternateContent xmlns:mc="http://schemas.openxmlformats.org/markup-compatibility/2006" xmlns:a14="http://schemas.microsoft.com/office/drawing/2010/main">
      <mc:Choice Requires="a14">
        <xdr:graphicFrame macro="">
          <xdr:nvGraphicFramePr>
            <xdr:cNvPr id="13" name="Attrition">
              <a:extLst>
                <a:ext uri="{FF2B5EF4-FFF2-40B4-BE49-F238E27FC236}">
                  <a16:creationId xmlns:a16="http://schemas.microsoft.com/office/drawing/2014/main" id="{03FBDA12-D86E-2BE6-5517-7157879090D8}"/>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9448800" y="2842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1303020</xdr:colOff>
      <xdr:row>5</xdr:row>
      <xdr:rowOff>76201</xdr:rowOff>
    </xdr:from>
    <xdr:to>
      <xdr:col>6</xdr:col>
      <xdr:colOff>38100</xdr:colOff>
      <xdr:row>11</xdr:row>
      <xdr:rowOff>76200</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FAF31006-38C0-A678-2116-F4F90C43B36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63840" y="990601"/>
              <a:ext cx="1447800" cy="109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594360</xdr:colOff>
      <xdr:row>6</xdr:row>
      <xdr:rowOff>22861</xdr:rowOff>
    </xdr:from>
    <xdr:to>
      <xdr:col>8</xdr:col>
      <xdr:colOff>403860</xdr:colOff>
      <xdr:row>11</xdr:row>
      <xdr:rowOff>38100</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4656AFEB-6F9D-4D7C-5C79-C9DC6292644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867900" y="1120141"/>
              <a:ext cx="102870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18</xdr:row>
      <xdr:rowOff>0</xdr:rowOff>
    </xdr:from>
    <xdr:to>
      <xdr:col>6</xdr:col>
      <xdr:colOff>304800</xdr:colOff>
      <xdr:row>19</xdr:row>
      <xdr:rowOff>121920</xdr:rowOff>
    </xdr:to>
    <xdr:sp macro="" textlink="">
      <xdr:nvSpPr>
        <xdr:cNvPr id="4097" name="AutoShape 1" descr="Image result for HR ANALYSIS ICON">
          <a:extLst>
            <a:ext uri="{FF2B5EF4-FFF2-40B4-BE49-F238E27FC236}">
              <a16:creationId xmlns:a16="http://schemas.microsoft.com/office/drawing/2014/main" id="{5ECE0741-3C87-1744-2550-F837F38BD609}"/>
            </a:ext>
          </a:extLst>
        </xdr:cNvPr>
        <xdr:cNvSpPr>
          <a:spLocks noChangeAspect="1" noChangeArrowheads="1"/>
        </xdr:cNvSpPr>
      </xdr:nvSpPr>
      <xdr:spPr bwMode="auto">
        <a:xfrm>
          <a:off x="3657600" y="329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6</xdr:row>
      <xdr:rowOff>0</xdr:rowOff>
    </xdr:from>
    <xdr:to>
      <xdr:col>5</xdr:col>
      <xdr:colOff>304800</xdr:colOff>
      <xdr:row>7</xdr:row>
      <xdr:rowOff>121920</xdr:rowOff>
    </xdr:to>
    <xdr:sp macro="" textlink="">
      <xdr:nvSpPr>
        <xdr:cNvPr id="4098" name="AutoShape 2" descr="Image result for HR ANALYSIS ICON">
          <a:extLst>
            <a:ext uri="{FF2B5EF4-FFF2-40B4-BE49-F238E27FC236}">
              <a16:creationId xmlns:a16="http://schemas.microsoft.com/office/drawing/2014/main" id="{39B5535F-F1B1-2BFF-55EC-9F2AF81E79EB}"/>
            </a:ext>
          </a:extLst>
        </xdr:cNvPr>
        <xdr:cNvSpPr>
          <a:spLocks noChangeAspect="1" noChangeArrowheads="1"/>
        </xdr:cNvSpPr>
      </xdr:nvSpPr>
      <xdr:spPr bwMode="auto">
        <a:xfrm>
          <a:off x="3048000" y="1097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12</xdr:row>
      <xdr:rowOff>0</xdr:rowOff>
    </xdr:from>
    <xdr:to>
      <xdr:col>9</xdr:col>
      <xdr:colOff>304800</xdr:colOff>
      <xdr:row>13</xdr:row>
      <xdr:rowOff>121920</xdr:rowOff>
    </xdr:to>
    <xdr:sp macro="" textlink="">
      <xdr:nvSpPr>
        <xdr:cNvPr id="4099" name="AutoShape 3" descr="Image result for HR ANALYSIS ICON">
          <a:extLst>
            <a:ext uri="{FF2B5EF4-FFF2-40B4-BE49-F238E27FC236}">
              <a16:creationId xmlns:a16="http://schemas.microsoft.com/office/drawing/2014/main" id="{34E41674-215D-977C-0630-EEBE2C8FA47B}"/>
            </a:ext>
          </a:extLst>
        </xdr:cNvPr>
        <xdr:cNvSpPr>
          <a:spLocks noChangeAspect="1" noChangeArrowheads="1"/>
        </xdr:cNvSpPr>
      </xdr:nvSpPr>
      <xdr:spPr bwMode="auto">
        <a:xfrm>
          <a:off x="5486400" y="2194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49530</xdr:colOff>
      <xdr:row>0</xdr:row>
      <xdr:rowOff>80010</xdr:rowOff>
    </xdr:from>
    <xdr:to>
      <xdr:col>9</xdr:col>
      <xdr:colOff>163830</xdr:colOff>
      <xdr:row>4</xdr:row>
      <xdr:rowOff>64770</xdr:rowOff>
    </xdr:to>
    <xdr:sp macro="" textlink="">
      <xdr:nvSpPr>
        <xdr:cNvPr id="2" name="Rectangle: Rounded Corners 1">
          <a:extLst>
            <a:ext uri="{FF2B5EF4-FFF2-40B4-BE49-F238E27FC236}">
              <a16:creationId xmlns:a16="http://schemas.microsoft.com/office/drawing/2014/main" id="{B3F53F8F-2D09-1E0F-9479-3362D3822404}"/>
            </a:ext>
          </a:extLst>
        </xdr:cNvPr>
        <xdr:cNvSpPr/>
      </xdr:nvSpPr>
      <xdr:spPr>
        <a:xfrm>
          <a:off x="49530" y="80010"/>
          <a:ext cx="5600700"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241029</xdr:colOff>
      <xdr:row>0</xdr:row>
      <xdr:rowOff>97607</xdr:rowOff>
    </xdr:from>
    <xdr:to>
      <xdr:col>17</xdr:col>
      <xdr:colOff>324849</xdr:colOff>
      <xdr:row>4</xdr:row>
      <xdr:rowOff>82367</xdr:rowOff>
    </xdr:to>
    <xdr:sp macro="" textlink="">
      <xdr:nvSpPr>
        <xdr:cNvPr id="3" name="Rectangle: Rounded Corners 2">
          <a:extLst>
            <a:ext uri="{FF2B5EF4-FFF2-40B4-BE49-F238E27FC236}">
              <a16:creationId xmlns:a16="http://schemas.microsoft.com/office/drawing/2014/main" id="{81B3B94C-9A0B-48CD-8444-0E452E18B30B}"/>
            </a:ext>
          </a:extLst>
        </xdr:cNvPr>
        <xdr:cNvSpPr/>
      </xdr:nvSpPr>
      <xdr:spPr>
        <a:xfrm>
          <a:off x="5727429" y="97607"/>
          <a:ext cx="4960620"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xdr:from>
      <xdr:col>0</xdr:col>
      <xdr:colOff>85725</xdr:colOff>
      <xdr:row>4</xdr:row>
      <xdr:rowOff>129540</xdr:rowOff>
    </xdr:from>
    <xdr:to>
      <xdr:col>3</xdr:col>
      <xdr:colOff>352425</xdr:colOff>
      <xdr:row>8</xdr:row>
      <xdr:rowOff>114300</xdr:rowOff>
    </xdr:to>
    <xdr:sp macro="" textlink="">
      <xdr:nvSpPr>
        <xdr:cNvPr id="4" name="Rectangle: Rounded Corners 3">
          <a:extLst>
            <a:ext uri="{FF2B5EF4-FFF2-40B4-BE49-F238E27FC236}">
              <a16:creationId xmlns:a16="http://schemas.microsoft.com/office/drawing/2014/main" id="{561BF70D-E876-4A38-91D1-D0C21A5B05E0}"/>
            </a:ext>
          </a:extLst>
        </xdr:cNvPr>
        <xdr:cNvSpPr/>
      </xdr:nvSpPr>
      <xdr:spPr>
        <a:xfrm>
          <a:off x="85725" y="853440"/>
          <a:ext cx="2095500"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525780</xdr:colOff>
      <xdr:row>4</xdr:row>
      <xdr:rowOff>146685</xdr:rowOff>
    </xdr:from>
    <xdr:to>
      <xdr:col>7</xdr:col>
      <xdr:colOff>99060</xdr:colOff>
      <xdr:row>8</xdr:row>
      <xdr:rowOff>131445</xdr:rowOff>
    </xdr:to>
    <xdr:sp macro="" textlink="">
      <xdr:nvSpPr>
        <xdr:cNvPr id="6" name="Rectangle: Rounded Corners 5">
          <a:extLst>
            <a:ext uri="{FF2B5EF4-FFF2-40B4-BE49-F238E27FC236}">
              <a16:creationId xmlns:a16="http://schemas.microsoft.com/office/drawing/2014/main" id="{30CA2F43-9ACE-44D6-B773-50DEA0AA210D}"/>
            </a:ext>
          </a:extLst>
        </xdr:cNvPr>
        <xdr:cNvSpPr/>
      </xdr:nvSpPr>
      <xdr:spPr>
        <a:xfrm>
          <a:off x="2354580" y="870585"/>
          <a:ext cx="2011680"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602928"/>
            </a:solidFill>
          </a:endParaRPr>
        </a:p>
      </xdr:txBody>
    </xdr:sp>
    <xdr:clientData/>
  </xdr:twoCellAnchor>
  <xdr:twoCellAnchor>
    <xdr:from>
      <xdr:col>14</xdr:col>
      <xdr:colOff>198120</xdr:colOff>
      <xdr:row>4</xdr:row>
      <xdr:rowOff>148590</xdr:rowOff>
    </xdr:from>
    <xdr:to>
      <xdr:col>17</xdr:col>
      <xdr:colOff>342900</xdr:colOff>
      <xdr:row>8</xdr:row>
      <xdr:rowOff>133350</xdr:rowOff>
    </xdr:to>
    <xdr:sp macro="" textlink="">
      <xdr:nvSpPr>
        <xdr:cNvPr id="7" name="Rectangle: Rounded Corners 6">
          <a:extLst>
            <a:ext uri="{FF2B5EF4-FFF2-40B4-BE49-F238E27FC236}">
              <a16:creationId xmlns:a16="http://schemas.microsoft.com/office/drawing/2014/main" id="{7371007D-059B-47CD-8BE4-3C0931C46B0B}"/>
            </a:ext>
          </a:extLst>
        </xdr:cNvPr>
        <xdr:cNvSpPr/>
      </xdr:nvSpPr>
      <xdr:spPr>
        <a:xfrm>
          <a:off x="8732520" y="872490"/>
          <a:ext cx="1973580"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428625</xdr:colOff>
      <xdr:row>4</xdr:row>
      <xdr:rowOff>156210</xdr:rowOff>
    </xdr:from>
    <xdr:to>
      <xdr:col>14</xdr:col>
      <xdr:colOff>106680</xdr:colOff>
      <xdr:row>8</xdr:row>
      <xdr:rowOff>95250</xdr:rowOff>
    </xdr:to>
    <xdr:sp macro="" textlink="">
      <xdr:nvSpPr>
        <xdr:cNvPr id="8" name="Rectangle: Rounded Corners 7">
          <a:extLst>
            <a:ext uri="{FF2B5EF4-FFF2-40B4-BE49-F238E27FC236}">
              <a16:creationId xmlns:a16="http://schemas.microsoft.com/office/drawing/2014/main" id="{401B6BF3-4FCA-442D-A781-237180158B50}"/>
            </a:ext>
          </a:extLst>
        </xdr:cNvPr>
        <xdr:cNvSpPr/>
      </xdr:nvSpPr>
      <xdr:spPr>
        <a:xfrm>
          <a:off x="6524625" y="880110"/>
          <a:ext cx="2116455" cy="6629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220980</xdr:colOff>
      <xdr:row>4</xdr:row>
      <xdr:rowOff>133350</xdr:rowOff>
    </xdr:from>
    <xdr:to>
      <xdr:col>10</xdr:col>
      <xdr:colOff>342900</xdr:colOff>
      <xdr:row>8</xdr:row>
      <xdr:rowOff>120015</xdr:rowOff>
    </xdr:to>
    <xdr:sp macro="" textlink="">
      <xdr:nvSpPr>
        <xdr:cNvPr id="9" name="Rectangle: Rounded Corners 8">
          <a:extLst>
            <a:ext uri="{FF2B5EF4-FFF2-40B4-BE49-F238E27FC236}">
              <a16:creationId xmlns:a16="http://schemas.microsoft.com/office/drawing/2014/main" id="{BB96B41B-7E2D-46A0-A82F-AC977437DD3E}"/>
            </a:ext>
          </a:extLst>
        </xdr:cNvPr>
        <xdr:cNvSpPr/>
      </xdr:nvSpPr>
      <xdr:spPr>
        <a:xfrm>
          <a:off x="4488180" y="857250"/>
          <a:ext cx="1950720" cy="71056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0</xdr:col>
      <xdr:colOff>76199</xdr:colOff>
      <xdr:row>8</xdr:row>
      <xdr:rowOff>161261</xdr:rowOff>
    </xdr:from>
    <xdr:to>
      <xdr:col>6</xdr:col>
      <xdr:colOff>372138</xdr:colOff>
      <xdr:row>30</xdr:row>
      <xdr:rowOff>123825</xdr:rowOff>
    </xdr:to>
    <xdr:sp macro="" textlink="">
      <xdr:nvSpPr>
        <xdr:cNvPr id="10" name="Rectangle: Rounded Corners 9">
          <a:extLst>
            <a:ext uri="{FF2B5EF4-FFF2-40B4-BE49-F238E27FC236}">
              <a16:creationId xmlns:a16="http://schemas.microsoft.com/office/drawing/2014/main" id="{5C373C91-93B6-4EF3-B0B9-F403CFEEE759}"/>
            </a:ext>
          </a:extLst>
        </xdr:cNvPr>
        <xdr:cNvSpPr/>
      </xdr:nvSpPr>
      <xdr:spPr>
        <a:xfrm>
          <a:off x="76199" y="1609061"/>
          <a:ext cx="3953539" cy="3944014"/>
        </a:xfrm>
        <a:prstGeom prst="roundRect">
          <a:avLst>
            <a:gd name="adj" fmla="val 42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34852</xdr:colOff>
      <xdr:row>20</xdr:row>
      <xdr:rowOff>72852</xdr:rowOff>
    </xdr:from>
    <xdr:to>
      <xdr:col>13</xdr:col>
      <xdr:colOff>237067</xdr:colOff>
      <xdr:row>30</xdr:row>
      <xdr:rowOff>99433</xdr:rowOff>
    </xdr:to>
    <xdr:sp macro="" textlink="">
      <xdr:nvSpPr>
        <xdr:cNvPr id="11" name="Rectangle: Rounded Corners 10">
          <a:extLst>
            <a:ext uri="{FF2B5EF4-FFF2-40B4-BE49-F238E27FC236}">
              <a16:creationId xmlns:a16="http://schemas.microsoft.com/office/drawing/2014/main" id="{072BBA2C-98C9-4DA9-AF2C-1D50357D6247}"/>
            </a:ext>
          </a:extLst>
        </xdr:cNvPr>
        <xdr:cNvSpPr/>
      </xdr:nvSpPr>
      <xdr:spPr>
        <a:xfrm>
          <a:off x="6130852" y="3798185"/>
          <a:ext cx="2031015" cy="1889248"/>
        </a:xfrm>
        <a:prstGeom prst="roundRect">
          <a:avLst>
            <a:gd name="adj" fmla="val 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398721</xdr:colOff>
      <xdr:row>9</xdr:row>
      <xdr:rowOff>44538</xdr:rowOff>
    </xdr:from>
    <xdr:to>
      <xdr:col>11</xdr:col>
      <xdr:colOff>363279</xdr:colOff>
      <xdr:row>20</xdr:row>
      <xdr:rowOff>53163</xdr:rowOff>
    </xdr:to>
    <xdr:sp macro="" textlink="">
      <xdr:nvSpPr>
        <xdr:cNvPr id="12" name="Rectangle: Rounded Corners 11">
          <a:extLst>
            <a:ext uri="{FF2B5EF4-FFF2-40B4-BE49-F238E27FC236}">
              <a16:creationId xmlns:a16="http://schemas.microsoft.com/office/drawing/2014/main" id="{52D7D3FF-5406-4ACF-A9DF-627B58B75471}"/>
            </a:ext>
          </a:extLst>
        </xdr:cNvPr>
        <xdr:cNvSpPr/>
      </xdr:nvSpPr>
      <xdr:spPr>
        <a:xfrm>
          <a:off x="4066954" y="1719166"/>
          <a:ext cx="3021418" cy="2055392"/>
        </a:xfrm>
        <a:prstGeom prst="roundRect">
          <a:avLst>
            <a:gd name="adj" fmla="val 683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402266</xdr:colOff>
      <xdr:row>20</xdr:row>
      <xdr:rowOff>59660</xdr:rowOff>
    </xdr:from>
    <xdr:to>
      <xdr:col>10</xdr:col>
      <xdr:colOff>12405</xdr:colOff>
      <xdr:row>30</xdr:row>
      <xdr:rowOff>99829</xdr:rowOff>
    </xdr:to>
    <xdr:sp macro="" textlink="">
      <xdr:nvSpPr>
        <xdr:cNvPr id="13" name="Rectangle: Rounded Corners 12">
          <a:extLst>
            <a:ext uri="{FF2B5EF4-FFF2-40B4-BE49-F238E27FC236}">
              <a16:creationId xmlns:a16="http://schemas.microsoft.com/office/drawing/2014/main" id="{D987C04B-4AC7-4B5B-B2BE-B6C49A1BF8BB}"/>
            </a:ext>
          </a:extLst>
        </xdr:cNvPr>
        <xdr:cNvSpPr/>
      </xdr:nvSpPr>
      <xdr:spPr>
        <a:xfrm>
          <a:off x="4059866" y="3784993"/>
          <a:ext cx="2048539" cy="1902836"/>
        </a:xfrm>
        <a:prstGeom prst="roundRect">
          <a:avLst>
            <a:gd name="adj" fmla="val 78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411788</xdr:colOff>
      <xdr:row>9</xdr:row>
      <xdr:rowOff>41641</xdr:rowOff>
    </xdr:from>
    <xdr:to>
      <xdr:col>17</xdr:col>
      <xdr:colOff>323184</xdr:colOff>
      <xdr:row>20</xdr:row>
      <xdr:rowOff>23923</xdr:rowOff>
    </xdr:to>
    <xdr:sp macro="" textlink="">
      <xdr:nvSpPr>
        <xdr:cNvPr id="14" name="Rectangle: Rounded Corners 13">
          <a:extLst>
            <a:ext uri="{FF2B5EF4-FFF2-40B4-BE49-F238E27FC236}">
              <a16:creationId xmlns:a16="http://schemas.microsoft.com/office/drawing/2014/main" id="{2C39D986-A2B6-494B-AF28-6B2D712010BB}"/>
            </a:ext>
          </a:extLst>
        </xdr:cNvPr>
        <xdr:cNvSpPr/>
      </xdr:nvSpPr>
      <xdr:spPr>
        <a:xfrm>
          <a:off x="7117388" y="1670416"/>
          <a:ext cx="3568996" cy="1973007"/>
        </a:xfrm>
        <a:prstGeom prst="roundRect">
          <a:avLst>
            <a:gd name="adj" fmla="val 53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270933</xdr:colOff>
      <xdr:row>20</xdr:row>
      <xdr:rowOff>93134</xdr:rowOff>
    </xdr:from>
    <xdr:to>
      <xdr:col>17</xdr:col>
      <xdr:colOff>550333</xdr:colOff>
      <xdr:row>30</xdr:row>
      <xdr:rowOff>159095</xdr:rowOff>
    </xdr:to>
    <xdr:sp macro="" textlink="">
      <xdr:nvSpPr>
        <xdr:cNvPr id="15" name="Rectangle: Rounded Corners 14">
          <a:extLst>
            <a:ext uri="{FF2B5EF4-FFF2-40B4-BE49-F238E27FC236}">
              <a16:creationId xmlns:a16="http://schemas.microsoft.com/office/drawing/2014/main" id="{7D355D2B-ADB3-4531-924A-562975C6A946}"/>
            </a:ext>
          </a:extLst>
        </xdr:cNvPr>
        <xdr:cNvSpPr/>
      </xdr:nvSpPr>
      <xdr:spPr>
        <a:xfrm>
          <a:off x="8195733" y="3712634"/>
          <a:ext cx="2717800" cy="1875711"/>
        </a:xfrm>
        <a:prstGeom prst="roundRect">
          <a:avLst>
            <a:gd name="adj" fmla="val 0"/>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205740</xdr:colOff>
      <xdr:row>4</xdr:row>
      <xdr:rowOff>167640</xdr:rowOff>
    </xdr:from>
    <xdr:to>
      <xdr:col>2</xdr:col>
      <xdr:colOff>571500</xdr:colOff>
      <xdr:row>6</xdr:row>
      <xdr:rowOff>99060</xdr:rowOff>
    </xdr:to>
    <xdr:sp macro="" textlink="">
      <xdr:nvSpPr>
        <xdr:cNvPr id="16" name="TextBox 15">
          <a:extLst>
            <a:ext uri="{FF2B5EF4-FFF2-40B4-BE49-F238E27FC236}">
              <a16:creationId xmlns:a16="http://schemas.microsoft.com/office/drawing/2014/main" id="{029BE904-3526-176C-83B6-74FEC8F6F1D2}"/>
            </a:ext>
          </a:extLst>
        </xdr:cNvPr>
        <xdr:cNvSpPr txBox="1"/>
      </xdr:nvSpPr>
      <xdr:spPr>
        <a:xfrm>
          <a:off x="205740" y="899160"/>
          <a:ext cx="15849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E2518"/>
              </a:solidFill>
            </a:rPr>
            <a:t>TOTAL EMPLOYEES</a:t>
          </a:r>
        </a:p>
      </xdr:txBody>
    </xdr:sp>
    <xdr:clientData/>
  </xdr:twoCellAnchor>
  <xdr:twoCellAnchor>
    <xdr:from>
      <xdr:col>0</xdr:col>
      <xdr:colOff>281940</xdr:colOff>
      <xdr:row>6</xdr:row>
      <xdr:rowOff>60960</xdr:rowOff>
    </xdr:from>
    <xdr:to>
      <xdr:col>2</xdr:col>
      <xdr:colOff>472440</xdr:colOff>
      <xdr:row>8</xdr:row>
      <xdr:rowOff>60960</xdr:rowOff>
    </xdr:to>
    <xdr:sp macro="" textlink="'pivot tables'!A4">
      <xdr:nvSpPr>
        <xdr:cNvPr id="17" name="TextBox 16">
          <a:extLst>
            <a:ext uri="{FF2B5EF4-FFF2-40B4-BE49-F238E27FC236}">
              <a16:creationId xmlns:a16="http://schemas.microsoft.com/office/drawing/2014/main" id="{36CFCB95-024B-0153-6B38-DAE95C386ADA}"/>
            </a:ext>
          </a:extLst>
        </xdr:cNvPr>
        <xdr:cNvSpPr txBox="1"/>
      </xdr:nvSpPr>
      <xdr:spPr>
        <a:xfrm>
          <a:off x="281940" y="1158240"/>
          <a:ext cx="140970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CBAB28-F012-4A71-8AEA-70F3D00E4D49}" type="TxLink">
            <a:rPr lang="en-US" sz="2800" b="0" i="0" u="none" strike="noStrike">
              <a:solidFill>
                <a:schemeClr val="accent1">
                  <a:lumMod val="50000"/>
                </a:schemeClr>
              </a:solidFill>
              <a:latin typeface="Elephant" panose="02020904090505020303" pitchFamily="18" charset="0"/>
              <a:ea typeface="Calibri"/>
              <a:cs typeface="Calibri"/>
            </a:rPr>
            <a:pPr algn="ctr"/>
            <a:t>961</a:t>
          </a:fld>
          <a:endParaRPr lang="en-IN" sz="2800">
            <a:solidFill>
              <a:schemeClr val="accent1">
                <a:lumMod val="50000"/>
              </a:schemeClr>
            </a:solidFill>
            <a:latin typeface="Elephant" panose="02020904090505020303" pitchFamily="18" charset="0"/>
          </a:endParaRPr>
        </a:p>
      </xdr:txBody>
    </xdr:sp>
    <xdr:clientData/>
  </xdr:twoCellAnchor>
  <xdr:twoCellAnchor>
    <xdr:from>
      <xdr:col>3</xdr:col>
      <xdr:colOff>563880</xdr:colOff>
      <xdr:row>4</xdr:row>
      <xdr:rowOff>175260</xdr:rowOff>
    </xdr:from>
    <xdr:to>
      <xdr:col>6</xdr:col>
      <xdr:colOff>320040</xdr:colOff>
      <xdr:row>6</xdr:row>
      <xdr:rowOff>106680</xdr:rowOff>
    </xdr:to>
    <xdr:sp macro="" textlink="">
      <xdr:nvSpPr>
        <xdr:cNvPr id="19" name="TextBox 18">
          <a:extLst>
            <a:ext uri="{FF2B5EF4-FFF2-40B4-BE49-F238E27FC236}">
              <a16:creationId xmlns:a16="http://schemas.microsoft.com/office/drawing/2014/main" id="{0F7AFF1F-EE95-4E56-977E-5AD65D0F6278}"/>
            </a:ext>
          </a:extLst>
        </xdr:cNvPr>
        <xdr:cNvSpPr txBox="1"/>
      </xdr:nvSpPr>
      <xdr:spPr>
        <a:xfrm>
          <a:off x="2392680" y="906780"/>
          <a:ext cx="15849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CE2518"/>
              </a:solidFill>
            </a:rPr>
            <a:t>ATTRITION</a:t>
          </a:r>
        </a:p>
      </xdr:txBody>
    </xdr:sp>
    <xdr:clientData/>
  </xdr:twoCellAnchor>
  <xdr:twoCellAnchor>
    <xdr:from>
      <xdr:col>7</xdr:col>
      <xdr:colOff>259080</xdr:colOff>
      <xdr:row>5</xdr:row>
      <xdr:rowOff>0</xdr:rowOff>
    </xdr:from>
    <xdr:to>
      <xdr:col>10</xdr:col>
      <xdr:colOff>15240</xdr:colOff>
      <xdr:row>6</xdr:row>
      <xdr:rowOff>114300</xdr:rowOff>
    </xdr:to>
    <xdr:sp macro="" textlink="">
      <xdr:nvSpPr>
        <xdr:cNvPr id="20" name="TextBox 19">
          <a:extLst>
            <a:ext uri="{FF2B5EF4-FFF2-40B4-BE49-F238E27FC236}">
              <a16:creationId xmlns:a16="http://schemas.microsoft.com/office/drawing/2014/main" id="{5813649A-5578-4E78-9E67-DC12D9DBBF55}"/>
            </a:ext>
          </a:extLst>
        </xdr:cNvPr>
        <xdr:cNvSpPr txBox="1"/>
      </xdr:nvSpPr>
      <xdr:spPr>
        <a:xfrm>
          <a:off x="4526280" y="914400"/>
          <a:ext cx="15849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E2518"/>
              </a:solidFill>
            </a:rPr>
            <a:t>ACTIVE  EMPLOYEES</a:t>
          </a:r>
        </a:p>
      </xdr:txBody>
    </xdr:sp>
    <xdr:clientData/>
  </xdr:twoCellAnchor>
  <xdr:twoCellAnchor>
    <xdr:from>
      <xdr:col>10</xdr:col>
      <xdr:colOff>483870</xdr:colOff>
      <xdr:row>4</xdr:row>
      <xdr:rowOff>175260</xdr:rowOff>
    </xdr:from>
    <xdr:to>
      <xdr:col>13</xdr:col>
      <xdr:colOff>240030</xdr:colOff>
      <xdr:row>6</xdr:row>
      <xdr:rowOff>108585</xdr:rowOff>
    </xdr:to>
    <xdr:sp macro="" textlink="">
      <xdr:nvSpPr>
        <xdr:cNvPr id="21" name="TextBox 20">
          <a:extLst>
            <a:ext uri="{FF2B5EF4-FFF2-40B4-BE49-F238E27FC236}">
              <a16:creationId xmlns:a16="http://schemas.microsoft.com/office/drawing/2014/main" id="{FA8EC9AB-C90C-483E-91D4-BCEE86424516}"/>
            </a:ext>
          </a:extLst>
        </xdr:cNvPr>
        <xdr:cNvSpPr txBox="1"/>
      </xdr:nvSpPr>
      <xdr:spPr>
        <a:xfrm>
          <a:off x="6579870" y="899160"/>
          <a:ext cx="158496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E2518"/>
              </a:solidFill>
            </a:rPr>
            <a:t>ATTRITION</a:t>
          </a:r>
          <a:r>
            <a:rPr lang="en-IN" sz="1400" b="1" baseline="0">
              <a:solidFill>
                <a:srgbClr val="CE2518"/>
              </a:solidFill>
            </a:rPr>
            <a:t> RATE</a:t>
          </a:r>
          <a:endParaRPr lang="en-IN" sz="1400" b="1">
            <a:solidFill>
              <a:srgbClr val="CE2518"/>
            </a:solidFill>
          </a:endParaRPr>
        </a:p>
      </xdr:txBody>
    </xdr:sp>
    <xdr:clientData/>
  </xdr:twoCellAnchor>
  <xdr:twoCellAnchor>
    <xdr:from>
      <xdr:col>14</xdr:col>
      <xdr:colOff>238125</xdr:colOff>
      <xdr:row>5</xdr:row>
      <xdr:rowOff>15241</xdr:rowOff>
    </xdr:from>
    <xdr:to>
      <xdr:col>17</xdr:col>
      <xdr:colOff>30480</xdr:colOff>
      <xdr:row>6</xdr:row>
      <xdr:rowOff>123826</xdr:rowOff>
    </xdr:to>
    <xdr:sp macro="" textlink="">
      <xdr:nvSpPr>
        <xdr:cNvPr id="22" name="TextBox 21">
          <a:extLst>
            <a:ext uri="{FF2B5EF4-FFF2-40B4-BE49-F238E27FC236}">
              <a16:creationId xmlns:a16="http://schemas.microsoft.com/office/drawing/2014/main" id="{1D0820E5-2C67-4CDD-A4CD-939F7C435C36}"/>
            </a:ext>
          </a:extLst>
        </xdr:cNvPr>
        <xdr:cNvSpPr txBox="1"/>
      </xdr:nvSpPr>
      <xdr:spPr>
        <a:xfrm>
          <a:off x="8772525" y="920116"/>
          <a:ext cx="1621155"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E2518"/>
              </a:solidFill>
            </a:rPr>
            <a:t>AVERAGE</a:t>
          </a:r>
          <a:r>
            <a:rPr lang="en-IN" sz="1400" b="1" baseline="0">
              <a:solidFill>
                <a:srgbClr val="CE2518"/>
              </a:solidFill>
            </a:rPr>
            <a:t> AGE</a:t>
          </a:r>
          <a:endParaRPr lang="en-IN" sz="1400" b="1">
            <a:solidFill>
              <a:srgbClr val="CE2518"/>
            </a:solidFill>
          </a:endParaRPr>
        </a:p>
      </xdr:txBody>
    </xdr:sp>
    <xdr:clientData/>
  </xdr:twoCellAnchor>
  <xdr:twoCellAnchor>
    <xdr:from>
      <xdr:col>4</xdr:col>
      <xdr:colOff>22860</xdr:colOff>
      <xdr:row>6</xdr:row>
      <xdr:rowOff>76200</xdr:rowOff>
    </xdr:from>
    <xdr:to>
      <xdr:col>6</xdr:col>
      <xdr:colOff>213360</xdr:colOff>
      <xdr:row>8</xdr:row>
      <xdr:rowOff>76200</xdr:rowOff>
    </xdr:to>
    <xdr:sp macro="" textlink="'pivot tables'!B4">
      <xdr:nvSpPr>
        <xdr:cNvPr id="23" name="TextBox 22">
          <a:extLst>
            <a:ext uri="{FF2B5EF4-FFF2-40B4-BE49-F238E27FC236}">
              <a16:creationId xmlns:a16="http://schemas.microsoft.com/office/drawing/2014/main" id="{91E724CA-CBB6-44CE-8B5A-050AD5BF9571}"/>
            </a:ext>
          </a:extLst>
        </xdr:cNvPr>
        <xdr:cNvSpPr txBox="1"/>
      </xdr:nvSpPr>
      <xdr:spPr>
        <a:xfrm>
          <a:off x="2461260" y="1173480"/>
          <a:ext cx="140970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911644-C481-41A9-B092-815E5B67E123}" type="TxLink">
            <a:rPr lang="en-US" sz="2800" b="0" i="0" u="none" strike="noStrike">
              <a:solidFill>
                <a:schemeClr val="accent1">
                  <a:lumMod val="50000"/>
                </a:schemeClr>
              </a:solidFill>
              <a:latin typeface="Elephant" panose="02020904090505020303" pitchFamily="18" charset="0"/>
              <a:ea typeface="Calibri"/>
              <a:cs typeface="Calibri"/>
            </a:rPr>
            <a:pPr algn="ctr"/>
            <a:t>133</a:t>
          </a:fld>
          <a:endParaRPr lang="en-IN" sz="2800">
            <a:solidFill>
              <a:schemeClr val="accent1">
                <a:lumMod val="50000"/>
              </a:schemeClr>
            </a:solidFill>
            <a:latin typeface="Elephant" panose="02020904090505020303" pitchFamily="18" charset="0"/>
          </a:endParaRPr>
        </a:p>
      </xdr:txBody>
    </xdr:sp>
    <xdr:clientData/>
  </xdr:twoCellAnchor>
  <xdr:twoCellAnchor>
    <xdr:from>
      <xdr:col>7</xdr:col>
      <xdr:colOff>365760</xdr:colOff>
      <xdr:row>6</xdr:row>
      <xdr:rowOff>114300</xdr:rowOff>
    </xdr:from>
    <xdr:to>
      <xdr:col>9</xdr:col>
      <xdr:colOff>556260</xdr:colOff>
      <xdr:row>8</xdr:row>
      <xdr:rowOff>114300</xdr:rowOff>
    </xdr:to>
    <xdr:sp macro="" textlink="'pivot tables'!D4">
      <xdr:nvSpPr>
        <xdr:cNvPr id="24" name="TextBox 23">
          <a:extLst>
            <a:ext uri="{FF2B5EF4-FFF2-40B4-BE49-F238E27FC236}">
              <a16:creationId xmlns:a16="http://schemas.microsoft.com/office/drawing/2014/main" id="{42641FCB-2C58-4832-B10B-F07AC56391E9}"/>
            </a:ext>
          </a:extLst>
        </xdr:cNvPr>
        <xdr:cNvSpPr txBox="1"/>
      </xdr:nvSpPr>
      <xdr:spPr>
        <a:xfrm>
          <a:off x="4632960" y="1211580"/>
          <a:ext cx="140970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033AB9-2149-42EB-9545-8DC401965FFF}" type="TxLink">
            <a:rPr lang="en-US" sz="2800" b="0" i="0" u="none" strike="noStrike">
              <a:solidFill>
                <a:schemeClr val="accent1">
                  <a:lumMod val="50000"/>
                </a:schemeClr>
              </a:solidFill>
              <a:latin typeface="Elephant" panose="02020904090505020303" pitchFamily="18" charset="0"/>
              <a:ea typeface="Calibri"/>
              <a:cs typeface="Calibri"/>
            </a:rPr>
            <a:pPr algn="ctr"/>
            <a:t>828</a:t>
          </a:fld>
          <a:endParaRPr lang="en-IN" sz="2800">
            <a:solidFill>
              <a:schemeClr val="accent1">
                <a:lumMod val="50000"/>
              </a:schemeClr>
            </a:solidFill>
            <a:latin typeface="Elephant" panose="02020904090505020303" pitchFamily="18" charset="0"/>
          </a:endParaRPr>
        </a:p>
      </xdr:txBody>
    </xdr:sp>
    <xdr:clientData/>
  </xdr:twoCellAnchor>
  <xdr:twoCellAnchor>
    <xdr:from>
      <xdr:col>10</xdr:col>
      <xdr:colOff>535305</xdr:colOff>
      <xdr:row>6</xdr:row>
      <xdr:rowOff>93345</xdr:rowOff>
    </xdr:from>
    <xdr:to>
      <xdr:col>13</xdr:col>
      <xdr:colOff>116205</xdr:colOff>
      <xdr:row>8</xdr:row>
      <xdr:rowOff>93345</xdr:rowOff>
    </xdr:to>
    <xdr:sp macro="" textlink="'pivot tables'!C7">
      <xdr:nvSpPr>
        <xdr:cNvPr id="25" name="TextBox 24">
          <a:extLst>
            <a:ext uri="{FF2B5EF4-FFF2-40B4-BE49-F238E27FC236}">
              <a16:creationId xmlns:a16="http://schemas.microsoft.com/office/drawing/2014/main" id="{58AAB932-E9CD-4927-9312-E5A5E542E25C}"/>
            </a:ext>
          </a:extLst>
        </xdr:cNvPr>
        <xdr:cNvSpPr txBox="1"/>
      </xdr:nvSpPr>
      <xdr:spPr>
        <a:xfrm>
          <a:off x="6631305" y="1179195"/>
          <a:ext cx="14097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C22D4B-0CD2-4C9B-B13C-524A3DC9CC77}" type="TxLink">
            <a:rPr lang="en-US" sz="2400" b="0" i="0" u="none" strike="noStrike">
              <a:solidFill>
                <a:schemeClr val="accent1">
                  <a:lumMod val="50000"/>
                </a:schemeClr>
              </a:solidFill>
              <a:latin typeface="Elephant" panose="02020904090505020303" pitchFamily="18" charset="0"/>
              <a:ea typeface="Calibri"/>
              <a:cs typeface="Calibri"/>
            </a:rPr>
            <a:pPr algn="ctr"/>
            <a:t>13.84%</a:t>
          </a:fld>
          <a:endParaRPr lang="en-IN" sz="2400">
            <a:solidFill>
              <a:schemeClr val="accent1">
                <a:lumMod val="50000"/>
              </a:schemeClr>
            </a:solidFill>
            <a:latin typeface="Elephant" panose="02020904090505020303" pitchFamily="18" charset="0"/>
          </a:endParaRPr>
        </a:p>
      </xdr:txBody>
    </xdr:sp>
    <xdr:clientData/>
  </xdr:twoCellAnchor>
  <xdr:twoCellAnchor>
    <xdr:from>
      <xdr:col>14</xdr:col>
      <xdr:colOff>266700</xdr:colOff>
      <xdr:row>6</xdr:row>
      <xdr:rowOff>114300</xdr:rowOff>
    </xdr:from>
    <xdr:to>
      <xdr:col>16</xdr:col>
      <xdr:colOff>457200</xdr:colOff>
      <xdr:row>8</xdr:row>
      <xdr:rowOff>114300</xdr:rowOff>
    </xdr:to>
    <xdr:sp macro="" textlink="'pivot tables'!C4">
      <xdr:nvSpPr>
        <xdr:cNvPr id="26" name="TextBox 25">
          <a:extLst>
            <a:ext uri="{FF2B5EF4-FFF2-40B4-BE49-F238E27FC236}">
              <a16:creationId xmlns:a16="http://schemas.microsoft.com/office/drawing/2014/main" id="{750F5FB5-54F0-4633-910A-F4F63657686D}"/>
            </a:ext>
          </a:extLst>
        </xdr:cNvPr>
        <xdr:cNvSpPr txBox="1"/>
      </xdr:nvSpPr>
      <xdr:spPr>
        <a:xfrm>
          <a:off x="8801100" y="1200150"/>
          <a:ext cx="14097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0FD508-15C3-4F0E-B79D-CD59582069AC}" type="TxLink">
            <a:rPr lang="en-US" sz="2800" b="0" i="0" u="none" strike="noStrike">
              <a:solidFill>
                <a:schemeClr val="accent1">
                  <a:lumMod val="50000"/>
                </a:schemeClr>
              </a:solidFill>
              <a:latin typeface="Elephant" panose="02020904090505020303" pitchFamily="18" charset="0"/>
              <a:ea typeface="Calibri"/>
              <a:cs typeface="Calibri"/>
            </a:rPr>
            <a:pPr algn="ctr"/>
            <a:t>37</a:t>
          </a:fld>
          <a:endParaRPr lang="en-IN" sz="2800">
            <a:solidFill>
              <a:schemeClr val="accent1">
                <a:lumMod val="50000"/>
              </a:schemeClr>
            </a:solidFill>
            <a:latin typeface="Elephant" panose="02020904090505020303" pitchFamily="18" charset="0"/>
          </a:endParaRPr>
        </a:p>
      </xdr:txBody>
    </xdr:sp>
    <xdr:clientData/>
  </xdr:twoCellAnchor>
  <xdr:twoCellAnchor editAs="oneCell">
    <xdr:from>
      <xdr:col>2</xdr:col>
      <xdr:colOff>490008</xdr:colOff>
      <xdr:row>4</xdr:row>
      <xdr:rowOff>141816</xdr:rowOff>
    </xdr:from>
    <xdr:to>
      <xdr:col>3</xdr:col>
      <xdr:colOff>296986</xdr:colOff>
      <xdr:row>8</xdr:row>
      <xdr:rowOff>95250</xdr:rowOff>
    </xdr:to>
    <xdr:pic>
      <xdr:nvPicPr>
        <xdr:cNvPr id="27" name="Picture 26">
          <a:extLst>
            <a:ext uri="{FF2B5EF4-FFF2-40B4-BE49-F238E27FC236}">
              <a16:creationId xmlns:a16="http://schemas.microsoft.com/office/drawing/2014/main" id="{F6671BD4-B3CD-820B-40D7-84C046AF04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09208" y="865716"/>
          <a:ext cx="416578" cy="677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29634</xdr:colOff>
      <xdr:row>4</xdr:row>
      <xdr:rowOff>173567</xdr:rowOff>
    </xdr:from>
    <xdr:to>
      <xdr:col>14</xdr:col>
      <xdr:colOff>28575</xdr:colOff>
      <xdr:row>8</xdr:row>
      <xdr:rowOff>54013</xdr:rowOff>
    </xdr:to>
    <xdr:pic>
      <xdr:nvPicPr>
        <xdr:cNvPr id="28" name="Picture 27">
          <a:extLst>
            <a:ext uri="{FF2B5EF4-FFF2-40B4-BE49-F238E27FC236}">
              <a16:creationId xmlns:a16="http://schemas.microsoft.com/office/drawing/2014/main" id="{CD0C9E38-856C-75AA-04A0-894B3D0F88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54434" y="897467"/>
          <a:ext cx="608541" cy="604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257175</xdr:colOff>
      <xdr:row>5</xdr:row>
      <xdr:rowOff>43393</xdr:rowOff>
    </xdr:from>
    <xdr:to>
      <xdr:col>17</xdr:col>
      <xdr:colOff>255732</xdr:colOff>
      <xdr:row>8</xdr:row>
      <xdr:rowOff>51859</xdr:rowOff>
    </xdr:to>
    <xdr:pic>
      <xdr:nvPicPr>
        <xdr:cNvPr id="29" name="Picture 28">
          <a:extLst>
            <a:ext uri="{FF2B5EF4-FFF2-40B4-BE49-F238E27FC236}">
              <a16:creationId xmlns:a16="http://schemas.microsoft.com/office/drawing/2014/main" id="{7F8EB556-633F-1586-DB3A-F2395C145C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010775" y="948268"/>
          <a:ext cx="608157" cy="5513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406400</xdr:colOff>
      <xdr:row>5</xdr:row>
      <xdr:rowOff>118533</xdr:rowOff>
    </xdr:from>
    <xdr:to>
      <xdr:col>10</xdr:col>
      <xdr:colOff>347133</xdr:colOff>
      <xdr:row>8</xdr:row>
      <xdr:rowOff>119850</xdr:rowOff>
    </xdr:to>
    <xdr:pic>
      <xdr:nvPicPr>
        <xdr:cNvPr id="30" name="Picture 29">
          <a:extLst>
            <a:ext uri="{FF2B5EF4-FFF2-40B4-BE49-F238E27FC236}">
              <a16:creationId xmlns:a16="http://schemas.microsoft.com/office/drawing/2014/main" id="{C9BFDA2B-6CE3-753B-35CC-506E217E58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892800" y="1049866"/>
          <a:ext cx="550333" cy="560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59266</xdr:colOff>
      <xdr:row>5</xdr:row>
      <xdr:rowOff>59266</xdr:rowOff>
    </xdr:from>
    <xdr:to>
      <xdr:col>7</xdr:col>
      <xdr:colOff>25399</xdr:colOff>
      <xdr:row>8</xdr:row>
      <xdr:rowOff>118387</xdr:rowOff>
    </xdr:to>
    <xdr:pic>
      <xdr:nvPicPr>
        <xdr:cNvPr id="31" name="Picture 30">
          <a:extLst>
            <a:ext uri="{FF2B5EF4-FFF2-40B4-BE49-F238E27FC236}">
              <a16:creationId xmlns:a16="http://schemas.microsoft.com/office/drawing/2014/main" id="{8855AECD-533B-74A6-3F6A-9D5D62CBDD5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716866" y="990599"/>
          <a:ext cx="575733" cy="617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287867</xdr:colOff>
      <xdr:row>0</xdr:row>
      <xdr:rowOff>169333</xdr:rowOff>
    </xdr:from>
    <xdr:to>
      <xdr:col>9</xdr:col>
      <xdr:colOff>135467</xdr:colOff>
      <xdr:row>4</xdr:row>
      <xdr:rowOff>59266</xdr:rowOff>
    </xdr:to>
    <xdr:sp macro="" textlink="">
      <xdr:nvSpPr>
        <xdr:cNvPr id="32" name="TextBox 31">
          <a:extLst>
            <a:ext uri="{FF2B5EF4-FFF2-40B4-BE49-F238E27FC236}">
              <a16:creationId xmlns:a16="http://schemas.microsoft.com/office/drawing/2014/main" id="{49AEE47F-539C-D5FF-CE26-57B54611B3E3}"/>
            </a:ext>
          </a:extLst>
        </xdr:cNvPr>
        <xdr:cNvSpPr txBox="1"/>
      </xdr:nvSpPr>
      <xdr:spPr>
        <a:xfrm>
          <a:off x="897467" y="169333"/>
          <a:ext cx="47244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accent1">
                  <a:lumMod val="50000"/>
                </a:schemeClr>
              </a:solidFill>
              <a:latin typeface="Britannic Bold" panose="020B0903060703020204" pitchFamily="34" charset="0"/>
            </a:rPr>
            <a:t>HR ANALYTICS DASHBOARD</a:t>
          </a:r>
        </a:p>
      </xdr:txBody>
    </xdr:sp>
    <xdr:clientData/>
  </xdr:twoCellAnchor>
  <xdr:twoCellAnchor editAs="oneCell">
    <xdr:from>
      <xdr:col>0</xdr:col>
      <xdr:colOff>202143</xdr:colOff>
      <xdr:row>0</xdr:row>
      <xdr:rowOff>88900</xdr:rowOff>
    </xdr:from>
    <xdr:to>
      <xdr:col>1</xdr:col>
      <xdr:colOff>312209</xdr:colOff>
      <xdr:row>4</xdr:row>
      <xdr:rowOff>76293</xdr:rowOff>
    </xdr:to>
    <xdr:pic>
      <xdr:nvPicPr>
        <xdr:cNvPr id="34" name="Picture 33">
          <a:extLst>
            <a:ext uri="{FF2B5EF4-FFF2-40B4-BE49-F238E27FC236}">
              <a16:creationId xmlns:a16="http://schemas.microsoft.com/office/drawing/2014/main" id="{9DA75437-6215-E105-515D-4D4DF6AD08D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02143" y="88900"/>
          <a:ext cx="719666" cy="711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503767</xdr:colOff>
      <xdr:row>0</xdr:row>
      <xdr:rowOff>151341</xdr:rowOff>
    </xdr:from>
    <xdr:to>
      <xdr:col>13</xdr:col>
      <xdr:colOff>207432</xdr:colOff>
      <xdr:row>4</xdr:row>
      <xdr:rowOff>55033</xdr:rowOff>
    </xdr:to>
    <xdr:sp macro="" textlink="">
      <xdr:nvSpPr>
        <xdr:cNvPr id="35" name="TextBox 34">
          <a:extLst>
            <a:ext uri="{FF2B5EF4-FFF2-40B4-BE49-F238E27FC236}">
              <a16:creationId xmlns:a16="http://schemas.microsoft.com/office/drawing/2014/main" id="{7C4B6015-0604-C6A4-646A-DDBA94D3FA0C}"/>
            </a:ext>
          </a:extLst>
        </xdr:cNvPr>
        <xdr:cNvSpPr txBox="1"/>
      </xdr:nvSpPr>
      <xdr:spPr>
        <a:xfrm>
          <a:off x="6599767" y="151341"/>
          <a:ext cx="1532465" cy="6275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Bahnschrift SemiBold SemiConden" panose="020B0502040204020203" pitchFamily="34" charset="0"/>
            </a:rPr>
            <a:t> </a:t>
          </a:r>
          <a:r>
            <a:rPr lang="en-IN" sz="1200" b="1" baseline="0">
              <a:solidFill>
                <a:schemeClr val="accent1">
                  <a:lumMod val="50000"/>
                </a:schemeClr>
              </a:solidFill>
              <a:latin typeface="Bahnschrift SemiBold SemiConden" panose="020B0502040204020203" pitchFamily="34" charset="0"/>
            </a:rPr>
            <a:t>J</a:t>
          </a:r>
          <a:r>
            <a:rPr lang="en-IN" sz="1200" b="1">
              <a:solidFill>
                <a:schemeClr val="accent1">
                  <a:lumMod val="50000"/>
                </a:schemeClr>
              </a:solidFill>
              <a:latin typeface="Bahnschrift SemiBold SemiConden" panose="020B0502040204020203" pitchFamily="34" charset="0"/>
            </a:rPr>
            <a:t>OB</a:t>
          </a:r>
        </a:p>
        <a:p>
          <a:r>
            <a:rPr lang="en-IN" sz="1200" b="1">
              <a:solidFill>
                <a:schemeClr val="accent1">
                  <a:lumMod val="50000"/>
                </a:schemeClr>
              </a:solidFill>
              <a:latin typeface="Bahnschrift SemiBold SemiConden" panose="020B0502040204020203" pitchFamily="34" charset="0"/>
            </a:rPr>
            <a:t> SATISFACTION</a:t>
          </a:r>
        </a:p>
        <a:p>
          <a:r>
            <a:rPr lang="en-IN" sz="1200" b="1" baseline="0">
              <a:solidFill>
                <a:schemeClr val="accent1">
                  <a:lumMod val="50000"/>
                </a:schemeClr>
              </a:solidFill>
              <a:latin typeface="Bahnschrift SemiBold SemiConden" panose="020B0502040204020203" pitchFamily="34" charset="0"/>
            </a:rPr>
            <a:t> RATING</a:t>
          </a:r>
          <a:endParaRPr lang="en-IN" sz="1200" b="1">
            <a:solidFill>
              <a:schemeClr val="accent1">
                <a:lumMod val="50000"/>
              </a:schemeClr>
            </a:solidFill>
            <a:latin typeface="Bahnschrift SemiBold SemiConden" panose="020B0502040204020203" pitchFamily="34" charset="0"/>
          </a:endParaRPr>
        </a:p>
      </xdr:txBody>
    </xdr:sp>
    <xdr:clientData/>
  </xdr:twoCellAnchor>
  <xdr:twoCellAnchor editAs="oneCell">
    <xdr:from>
      <xdr:col>9</xdr:col>
      <xdr:colOff>423334</xdr:colOff>
      <xdr:row>0</xdr:row>
      <xdr:rowOff>152401</xdr:rowOff>
    </xdr:from>
    <xdr:to>
      <xdr:col>10</xdr:col>
      <xdr:colOff>491066</xdr:colOff>
      <xdr:row>4</xdr:row>
      <xdr:rowOff>96708</xdr:rowOff>
    </xdr:to>
    <xdr:pic>
      <xdr:nvPicPr>
        <xdr:cNvPr id="36" name="Picture 35">
          <a:extLst>
            <a:ext uri="{FF2B5EF4-FFF2-40B4-BE49-F238E27FC236}">
              <a16:creationId xmlns:a16="http://schemas.microsoft.com/office/drawing/2014/main" id="{E0DB73D6-29C0-D1A8-3299-EB0B2593D31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909734" y="152401"/>
          <a:ext cx="677332" cy="689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9525</xdr:colOff>
      <xdr:row>0</xdr:row>
      <xdr:rowOff>127000</xdr:rowOff>
    </xdr:from>
    <xdr:to>
      <xdr:col>14</xdr:col>
      <xdr:colOff>482600</xdr:colOff>
      <xdr:row>4</xdr:row>
      <xdr:rowOff>110066</xdr:rowOff>
    </xdr:to>
    <xdr:graphicFrame macro="">
      <xdr:nvGraphicFramePr>
        <xdr:cNvPr id="37" name="Chart 36">
          <a:extLst>
            <a:ext uri="{FF2B5EF4-FFF2-40B4-BE49-F238E27FC236}">
              <a16:creationId xmlns:a16="http://schemas.microsoft.com/office/drawing/2014/main" id="{8A191CF2-17A4-497A-B2A3-527461B51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194341</xdr:colOff>
      <xdr:row>1</xdr:row>
      <xdr:rowOff>8861</xdr:rowOff>
    </xdr:from>
    <xdr:to>
      <xdr:col>17</xdr:col>
      <xdr:colOff>256954</xdr:colOff>
      <xdr:row>3</xdr:row>
      <xdr:rowOff>168349</xdr:rowOff>
    </xdr:to>
    <xdr:graphicFrame macro="">
      <xdr:nvGraphicFramePr>
        <xdr:cNvPr id="39" name="Chart 38">
          <a:extLst>
            <a:ext uri="{FF2B5EF4-FFF2-40B4-BE49-F238E27FC236}">
              <a16:creationId xmlns:a16="http://schemas.microsoft.com/office/drawing/2014/main" id="{7876794C-02EC-4E23-B290-5431BA1C1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295939</xdr:colOff>
      <xdr:row>1</xdr:row>
      <xdr:rowOff>141767</xdr:rowOff>
    </xdr:from>
    <xdr:to>
      <xdr:col>17</xdr:col>
      <xdr:colOff>236674</xdr:colOff>
      <xdr:row>3</xdr:row>
      <xdr:rowOff>108098</xdr:rowOff>
    </xdr:to>
    <xdr:sp macro="" textlink="">
      <xdr:nvSpPr>
        <xdr:cNvPr id="40" name="Freeform: Shape 39">
          <a:extLst>
            <a:ext uri="{FF2B5EF4-FFF2-40B4-BE49-F238E27FC236}">
              <a16:creationId xmlns:a16="http://schemas.microsoft.com/office/drawing/2014/main" id="{71632326-76C5-C2D2-8ED3-5116B9CCD5D4}"/>
            </a:ext>
          </a:extLst>
        </xdr:cNvPr>
        <xdr:cNvSpPr/>
      </xdr:nvSpPr>
      <xdr:spPr>
        <a:xfrm>
          <a:off x="8855148" y="327837"/>
          <a:ext cx="1774852" cy="338470"/>
        </a:xfrm>
        <a:custGeom>
          <a:avLst/>
          <a:gdLst>
            <a:gd name="csX0" fmla="*/ 2084439 w 2517058"/>
            <a:gd name="csY0" fmla="*/ 92075 h 603353"/>
            <a:gd name="csX1" fmla="*/ 2027573 w 2517058"/>
            <a:gd name="csY1" fmla="*/ 287367 h 603353"/>
            <a:gd name="csX2" fmla="*/ 1843549 w 2517058"/>
            <a:gd name="csY2" fmla="*/ 287365 h 603353"/>
            <a:gd name="csX3" fmla="*/ 1992428 w 2517058"/>
            <a:gd name="csY3" fmla="*/ 408061 h 603353"/>
            <a:gd name="csX4" fmla="*/ 1935560 w 2517058"/>
            <a:gd name="csY4" fmla="*/ 603352 h 603353"/>
            <a:gd name="csX5" fmla="*/ 2084439 w 2517058"/>
            <a:gd name="csY5" fmla="*/ 482654 h 603353"/>
            <a:gd name="csX6" fmla="*/ 2233317 w 2517058"/>
            <a:gd name="csY6" fmla="*/ 603352 h 603353"/>
            <a:gd name="csX7" fmla="*/ 2176449 w 2517058"/>
            <a:gd name="csY7" fmla="*/ 408061 h 603353"/>
            <a:gd name="csX8" fmla="*/ 2325328 w 2517058"/>
            <a:gd name="csY8" fmla="*/ 287365 h 603353"/>
            <a:gd name="csX9" fmla="*/ 2141304 w 2517058"/>
            <a:gd name="csY9" fmla="*/ 287367 h 603353"/>
            <a:gd name="csX10" fmla="*/ 1520723 w 2517058"/>
            <a:gd name="csY10" fmla="*/ 92075 h 603353"/>
            <a:gd name="csX11" fmla="*/ 1463857 w 2517058"/>
            <a:gd name="csY11" fmla="*/ 287367 h 603353"/>
            <a:gd name="csX12" fmla="*/ 1279833 w 2517058"/>
            <a:gd name="csY12" fmla="*/ 287365 h 603353"/>
            <a:gd name="csX13" fmla="*/ 1428712 w 2517058"/>
            <a:gd name="csY13" fmla="*/ 408061 h 603353"/>
            <a:gd name="csX14" fmla="*/ 1371844 w 2517058"/>
            <a:gd name="csY14" fmla="*/ 603352 h 603353"/>
            <a:gd name="csX15" fmla="*/ 1520723 w 2517058"/>
            <a:gd name="csY15" fmla="*/ 482654 h 603353"/>
            <a:gd name="csX16" fmla="*/ 1669601 w 2517058"/>
            <a:gd name="csY16" fmla="*/ 603352 h 603353"/>
            <a:gd name="csX17" fmla="*/ 1612733 w 2517058"/>
            <a:gd name="csY17" fmla="*/ 408061 h 603353"/>
            <a:gd name="csX18" fmla="*/ 1761612 w 2517058"/>
            <a:gd name="csY18" fmla="*/ 287365 h 603353"/>
            <a:gd name="csX19" fmla="*/ 1577588 w 2517058"/>
            <a:gd name="csY19" fmla="*/ 287367 h 603353"/>
            <a:gd name="csX20" fmla="*/ 957007 w 2517058"/>
            <a:gd name="csY20" fmla="*/ 92075 h 603353"/>
            <a:gd name="csX21" fmla="*/ 900141 w 2517058"/>
            <a:gd name="csY21" fmla="*/ 287367 h 603353"/>
            <a:gd name="csX22" fmla="*/ 716117 w 2517058"/>
            <a:gd name="csY22" fmla="*/ 287365 h 603353"/>
            <a:gd name="csX23" fmla="*/ 864996 w 2517058"/>
            <a:gd name="csY23" fmla="*/ 408061 h 603353"/>
            <a:gd name="csX24" fmla="*/ 808128 w 2517058"/>
            <a:gd name="csY24" fmla="*/ 603352 h 603353"/>
            <a:gd name="csX25" fmla="*/ 957007 w 2517058"/>
            <a:gd name="csY25" fmla="*/ 482654 h 603353"/>
            <a:gd name="csX26" fmla="*/ 1105885 w 2517058"/>
            <a:gd name="csY26" fmla="*/ 603352 h 603353"/>
            <a:gd name="csX27" fmla="*/ 1049017 w 2517058"/>
            <a:gd name="csY27" fmla="*/ 408061 h 603353"/>
            <a:gd name="csX28" fmla="*/ 1197896 w 2517058"/>
            <a:gd name="csY28" fmla="*/ 287365 h 603353"/>
            <a:gd name="csX29" fmla="*/ 1013872 w 2517058"/>
            <a:gd name="csY29" fmla="*/ 287367 h 603353"/>
            <a:gd name="csX30" fmla="*/ 393291 w 2517058"/>
            <a:gd name="csY30" fmla="*/ 92075 h 603353"/>
            <a:gd name="csX31" fmla="*/ 336425 w 2517058"/>
            <a:gd name="csY31" fmla="*/ 287367 h 603353"/>
            <a:gd name="csX32" fmla="*/ 152401 w 2517058"/>
            <a:gd name="csY32" fmla="*/ 287365 h 603353"/>
            <a:gd name="csX33" fmla="*/ 301280 w 2517058"/>
            <a:gd name="csY33" fmla="*/ 408061 h 603353"/>
            <a:gd name="csX34" fmla="*/ 244412 w 2517058"/>
            <a:gd name="csY34" fmla="*/ 603352 h 603353"/>
            <a:gd name="csX35" fmla="*/ 393291 w 2517058"/>
            <a:gd name="csY35" fmla="*/ 482654 h 603353"/>
            <a:gd name="csX36" fmla="*/ 542169 w 2517058"/>
            <a:gd name="csY36" fmla="*/ 603352 h 603353"/>
            <a:gd name="csX37" fmla="*/ 485301 w 2517058"/>
            <a:gd name="csY37" fmla="*/ 408061 h 603353"/>
            <a:gd name="csX38" fmla="*/ 634180 w 2517058"/>
            <a:gd name="csY38" fmla="*/ 287365 h 603353"/>
            <a:gd name="csX39" fmla="*/ 450156 w 2517058"/>
            <a:gd name="csY39" fmla="*/ 287367 h 603353"/>
            <a:gd name="csX40" fmla="*/ 0 w 2517058"/>
            <a:gd name="csY40" fmla="*/ 0 h 603353"/>
            <a:gd name="csX41" fmla="*/ 2517058 w 2517058"/>
            <a:gd name="csY41" fmla="*/ 0 h 603353"/>
            <a:gd name="csX42" fmla="*/ 2517058 w 2517058"/>
            <a:gd name="csY42" fmla="*/ 603353 h 603353"/>
            <a:gd name="csX43" fmla="*/ 0 w 2517058"/>
            <a:gd name="csY43" fmla="*/ 603353 h 60335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517058" h="603353">
              <a:moveTo>
                <a:pt x="2084439" y="92075"/>
              </a:moveTo>
              <a:lnTo>
                <a:pt x="2027573" y="287367"/>
              </a:lnTo>
              <a:lnTo>
                <a:pt x="1843549" y="287365"/>
              </a:lnTo>
              <a:lnTo>
                <a:pt x="1992428" y="408061"/>
              </a:lnTo>
              <a:lnTo>
                <a:pt x="1935560" y="603352"/>
              </a:lnTo>
              <a:lnTo>
                <a:pt x="2084439" y="482654"/>
              </a:lnTo>
              <a:lnTo>
                <a:pt x="2233317" y="603352"/>
              </a:lnTo>
              <a:lnTo>
                <a:pt x="2176449" y="408061"/>
              </a:lnTo>
              <a:lnTo>
                <a:pt x="2325328" y="287365"/>
              </a:lnTo>
              <a:lnTo>
                <a:pt x="2141304" y="287367"/>
              </a:lnTo>
              <a:close/>
              <a:moveTo>
                <a:pt x="1520723" y="92075"/>
              </a:moveTo>
              <a:lnTo>
                <a:pt x="1463857" y="287367"/>
              </a:lnTo>
              <a:lnTo>
                <a:pt x="1279833" y="287365"/>
              </a:lnTo>
              <a:lnTo>
                <a:pt x="1428712" y="408061"/>
              </a:lnTo>
              <a:lnTo>
                <a:pt x="1371844" y="603352"/>
              </a:lnTo>
              <a:lnTo>
                <a:pt x="1520723" y="482654"/>
              </a:lnTo>
              <a:lnTo>
                <a:pt x="1669601" y="603352"/>
              </a:lnTo>
              <a:lnTo>
                <a:pt x="1612733" y="408061"/>
              </a:lnTo>
              <a:lnTo>
                <a:pt x="1761612" y="287365"/>
              </a:lnTo>
              <a:lnTo>
                <a:pt x="1577588" y="287367"/>
              </a:lnTo>
              <a:close/>
              <a:moveTo>
                <a:pt x="957007" y="92075"/>
              </a:moveTo>
              <a:lnTo>
                <a:pt x="900141" y="287367"/>
              </a:lnTo>
              <a:lnTo>
                <a:pt x="716117" y="287365"/>
              </a:lnTo>
              <a:lnTo>
                <a:pt x="864996" y="408061"/>
              </a:lnTo>
              <a:lnTo>
                <a:pt x="808128" y="603352"/>
              </a:lnTo>
              <a:lnTo>
                <a:pt x="957007" y="482654"/>
              </a:lnTo>
              <a:lnTo>
                <a:pt x="1105885" y="603352"/>
              </a:lnTo>
              <a:lnTo>
                <a:pt x="1049017" y="408061"/>
              </a:lnTo>
              <a:lnTo>
                <a:pt x="1197896" y="287365"/>
              </a:lnTo>
              <a:lnTo>
                <a:pt x="1013872" y="287367"/>
              </a:lnTo>
              <a:close/>
              <a:moveTo>
                <a:pt x="393291" y="92075"/>
              </a:moveTo>
              <a:lnTo>
                <a:pt x="336425" y="287367"/>
              </a:lnTo>
              <a:lnTo>
                <a:pt x="152401" y="287365"/>
              </a:lnTo>
              <a:lnTo>
                <a:pt x="301280" y="408061"/>
              </a:lnTo>
              <a:lnTo>
                <a:pt x="244412" y="603352"/>
              </a:lnTo>
              <a:lnTo>
                <a:pt x="393291" y="482654"/>
              </a:lnTo>
              <a:lnTo>
                <a:pt x="542169" y="603352"/>
              </a:lnTo>
              <a:lnTo>
                <a:pt x="485301" y="408061"/>
              </a:lnTo>
              <a:lnTo>
                <a:pt x="634180" y="287365"/>
              </a:lnTo>
              <a:lnTo>
                <a:pt x="450156" y="287367"/>
              </a:lnTo>
              <a:close/>
              <a:moveTo>
                <a:pt x="0" y="0"/>
              </a:moveTo>
              <a:lnTo>
                <a:pt x="2517058" y="0"/>
              </a:lnTo>
              <a:lnTo>
                <a:pt x="2517058" y="603353"/>
              </a:lnTo>
              <a:lnTo>
                <a:pt x="0" y="603353"/>
              </a:lnTo>
              <a:close/>
            </a:path>
          </a:pathLst>
        </a:cu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noFill/>
          </a:endParaRPr>
        </a:p>
      </xdr:txBody>
    </xdr:sp>
    <xdr:clientData/>
  </xdr:twoCellAnchor>
  <xdr:twoCellAnchor>
    <xdr:from>
      <xdr:col>0</xdr:col>
      <xdr:colOff>234901</xdr:colOff>
      <xdr:row>10</xdr:row>
      <xdr:rowOff>115187</xdr:rowOff>
    </xdr:from>
    <xdr:to>
      <xdr:col>6</xdr:col>
      <xdr:colOff>310116</xdr:colOff>
      <xdr:row>29</xdr:row>
      <xdr:rowOff>35442</xdr:rowOff>
    </xdr:to>
    <xdr:graphicFrame macro="">
      <xdr:nvGraphicFramePr>
        <xdr:cNvPr id="41" name="Chart 40">
          <a:extLst>
            <a:ext uri="{FF2B5EF4-FFF2-40B4-BE49-F238E27FC236}">
              <a16:creationId xmlns:a16="http://schemas.microsoft.com/office/drawing/2014/main" id="{0FB62892-EBAD-4CE0-BEBE-FCE4F8F45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416442</xdr:colOff>
      <xdr:row>9</xdr:row>
      <xdr:rowOff>26581</xdr:rowOff>
    </xdr:from>
    <xdr:to>
      <xdr:col>6</xdr:col>
      <xdr:colOff>186069</xdr:colOff>
      <xdr:row>10</xdr:row>
      <xdr:rowOff>115186</xdr:rowOff>
    </xdr:to>
    <xdr:sp macro="" textlink="">
      <xdr:nvSpPr>
        <xdr:cNvPr id="42" name="TextBox 41">
          <a:extLst>
            <a:ext uri="{FF2B5EF4-FFF2-40B4-BE49-F238E27FC236}">
              <a16:creationId xmlns:a16="http://schemas.microsoft.com/office/drawing/2014/main" id="{1898D025-2A66-A8F0-2A6E-AFF31A9518CF}"/>
            </a:ext>
          </a:extLst>
        </xdr:cNvPr>
        <xdr:cNvSpPr txBox="1"/>
      </xdr:nvSpPr>
      <xdr:spPr>
        <a:xfrm>
          <a:off x="416442" y="1701209"/>
          <a:ext cx="3437860" cy="274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baseline="0">
              <a:solidFill>
                <a:srgbClr val="C00000"/>
              </a:solidFill>
              <a:effectLst/>
              <a:latin typeface="+mn-lt"/>
              <a:ea typeface="+mn-ea"/>
              <a:cs typeface="+mn-cs"/>
            </a:rPr>
            <a:t>JOB ROLE WISE ATTRITION</a:t>
          </a:r>
          <a:endParaRPr lang="en-IN" sz="1400">
            <a:solidFill>
              <a:srgbClr val="C00000"/>
            </a:solidFill>
            <a:effectLst/>
          </a:endParaRPr>
        </a:p>
        <a:p>
          <a:endParaRPr lang="en-IN" sz="1100">
            <a:solidFill>
              <a:srgbClr val="C00000"/>
            </a:solidFill>
          </a:endParaRPr>
        </a:p>
      </xdr:txBody>
    </xdr:sp>
    <xdr:clientData/>
  </xdr:twoCellAnchor>
  <xdr:twoCellAnchor>
    <xdr:from>
      <xdr:col>6</xdr:col>
      <xdr:colOff>593650</xdr:colOff>
      <xdr:row>11</xdr:row>
      <xdr:rowOff>53164</xdr:rowOff>
    </xdr:from>
    <xdr:to>
      <xdr:col>11</xdr:col>
      <xdr:colOff>177209</xdr:colOff>
      <xdr:row>19</xdr:row>
      <xdr:rowOff>124045</xdr:rowOff>
    </xdr:to>
    <xdr:graphicFrame macro="">
      <xdr:nvGraphicFramePr>
        <xdr:cNvPr id="43" name="Chart 42">
          <a:extLst>
            <a:ext uri="{FF2B5EF4-FFF2-40B4-BE49-F238E27FC236}">
              <a16:creationId xmlns:a16="http://schemas.microsoft.com/office/drawing/2014/main" id="{EB4120B6-0F66-4704-A1DF-7E1BDEE39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9</xdr:row>
      <xdr:rowOff>115186</xdr:rowOff>
    </xdr:from>
    <xdr:to>
      <xdr:col>11</xdr:col>
      <xdr:colOff>124047</xdr:colOff>
      <xdr:row>11</xdr:row>
      <xdr:rowOff>8861</xdr:rowOff>
    </xdr:to>
    <xdr:sp macro="" textlink="">
      <xdr:nvSpPr>
        <xdr:cNvPr id="44" name="TextBox 43">
          <a:extLst>
            <a:ext uri="{FF2B5EF4-FFF2-40B4-BE49-F238E27FC236}">
              <a16:creationId xmlns:a16="http://schemas.microsoft.com/office/drawing/2014/main" id="{81D52055-D6A2-3FFF-5A3B-4429C0B1C4D1}"/>
            </a:ext>
          </a:extLst>
        </xdr:cNvPr>
        <xdr:cNvSpPr txBox="1"/>
      </xdr:nvSpPr>
      <xdr:spPr>
        <a:xfrm>
          <a:off x="4279605" y="1789814"/>
          <a:ext cx="2569535" cy="265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rPr>
            <a:t>DEPARTMENT</a:t>
          </a:r>
          <a:r>
            <a:rPr lang="en-IN" sz="1400" b="1" baseline="0">
              <a:solidFill>
                <a:srgbClr val="C00000"/>
              </a:solidFill>
            </a:rPr>
            <a:t> WISE ATTRITION</a:t>
          </a:r>
          <a:endParaRPr lang="en-IN" sz="1400" b="1">
            <a:solidFill>
              <a:srgbClr val="C00000"/>
            </a:solidFill>
          </a:endParaRPr>
        </a:p>
      </xdr:txBody>
    </xdr:sp>
    <xdr:clientData/>
  </xdr:twoCellAnchor>
  <xdr:twoCellAnchor>
    <xdr:from>
      <xdr:col>11</xdr:col>
      <xdr:colOff>558210</xdr:colOff>
      <xdr:row>9</xdr:row>
      <xdr:rowOff>141768</xdr:rowOff>
    </xdr:from>
    <xdr:to>
      <xdr:col>17</xdr:col>
      <xdr:colOff>265815</xdr:colOff>
      <xdr:row>11</xdr:row>
      <xdr:rowOff>35443</xdr:rowOff>
    </xdr:to>
    <xdr:sp macro="" textlink="">
      <xdr:nvSpPr>
        <xdr:cNvPr id="45" name="TextBox 44">
          <a:extLst>
            <a:ext uri="{FF2B5EF4-FFF2-40B4-BE49-F238E27FC236}">
              <a16:creationId xmlns:a16="http://schemas.microsoft.com/office/drawing/2014/main" id="{F1CE6F86-EB16-990D-972E-AB06F667578A}"/>
            </a:ext>
          </a:extLst>
        </xdr:cNvPr>
        <xdr:cNvSpPr txBox="1"/>
      </xdr:nvSpPr>
      <xdr:spPr>
        <a:xfrm>
          <a:off x="7283303" y="1816396"/>
          <a:ext cx="3375838" cy="265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C00000"/>
              </a:solidFill>
            </a:rPr>
            <a:t>ATTRITION BY EDUCATIONAL</a:t>
          </a:r>
          <a:r>
            <a:rPr lang="en-IN" sz="1400" b="1" baseline="0">
              <a:solidFill>
                <a:srgbClr val="C00000"/>
              </a:solidFill>
            </a:rPr>
            <a:t> FIELD</a:t>
          </a:r>
          <a:endParaRPr lang="en-IN" sz="1400" b="1">
            <a:solidFill>
              <a:srgbClr val="C00000"/>
            </a:solidFill>
          </a:endParaRPr>
        </a:p>
      </xdr:txBody>
    </xdr:sp>
    <xdr:clientData/>
  </xdr:twoCellAnchor>
  <xdr:twoCellAnchor>
    <xdr:from>
      <xdr:col>6</xdr:col>
      <xdr:colOff>567069</xdr:colOff>
      <xdr:row>20</xdr:row>
      <xdr:rowOff>159489</xdr:rowOff>
    </xdr:from>
    <xdr:to>
      <xdr:col>9</xdr:col>
      <xdr:colOff>567070</xdr:colOff>
      <xdr:row>22</xdr:row>
      <xdr:rowOff>26581</xdr:rowOff>
    </xdr:to>
    <xdr:sp macro="" textlink="">
      <xdr:nvSpPr>
        <xdr:cNvPr id="46" name="TextBox 45">
          <a:extLst>
            <a:ext uri="{FF2B5EF4-FFF2-40B4-BE49-F238E27FC236}">
              <a16:creationId xmlns:a16="http://schemas.microsoft.com/office/drawing/2014/main" id="{2D622EA8-337B-8B00-AD41-833856507564}"/>
            </a:ext>
          </a:extLst>
        </xdr:cNvPr>
        <xdr:cNvSpPr txBox="1"/>
      </xdr:nvSpPr>
      <xdr:spPr>
        <a:xfrm>
          <a:off x="4235302" y="3880884"/>
          <a:ext cx="1834117" cy="2392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C00000"/>
              </a:solidFill>
            </a:rPr>
            <a:t>ATTRITION BY AGE GROUP</a:t>
          </a:r>
        </a:p>
      </xdr:txBody>
    </xdr:sp>
    <xdr:clientData/>
  </xdr:twoCellAnchor>
  <xdr:twoCellAnchor>
    <xdr:from>
      <xdr:col>10</xdr:col>
      <xdr:colOff>99237</xdr:colOff>
      <xdr:row>20</xdr:row>
      <xdr:rowOff>160277</xdr:rowOff>
    </xdr:from>
    <xdr:to>
      <xdr:col>13</xdr:col>
      <xdr:colOff>205563</xdr:colOff>
      <xdr:row>22</xdr:row>
      <xdr:rowOff>45090</xdr:rowOff>
    </xdr:to>
    <xdr:sp macro="" textlink="">
      <xdr:nvSpPr>
        <xdr:cNvPr id="47" name="TextBox 46">
          <a:extLst>
            <a:ext uri="{FF2B5EF4-FFF2-40B4-BE49-F238E27FC236}">
              <a16:creationId xmlns:a16="http://schemas.microsoft.com/office/drawing/2014/main" id="{E3E0BA58-AFB9-941D-192B-6043DF17D9B9}"/>
            </a:ext>
          </a:extLst>
        </xdr:cNvPr>
        <xdr:cNvSpPr txBox="1"/>
      </xdr:nvSpPr>
      <xdr:spPr>
        <a:xfrm>
          <a:off x="6195237" y="3885610"/>
          <a:ext cx="1935126" cy="2573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C00000"/>
              </a:solidFill>
            </a:rPr>
            <a:t>ATTRITION</a:t>
          </a:r>
          <a:r>
            <a:rPr lang="en-IN" sz="1100" b="1" baseline="0">
              <a:solidFill>
                <a:srgbClr val="C00000"/>
              </a:solidFill>
            </a:rPr>
            <a:t> BY MARITAL </a:t>
          </a:r>
          <a:r>
            <a:rPr lang="en-IN" sz="1100" baseline="0">
              <a:solidFill>
                <a:srgbClr val="C00000"/>
              </a:solidFill>
            </a:rPr>
            <a:t>STATUS</a:t>
          </a:r>
          <a:endParaRPr lang="en-IN" sz="1100">
            <a:solidFill>
              <a:srgbClr val="C00000"/>
            </a:solidFill>
          </a:endParaRPr>
        </a:p>
      </xdr:txBody>
    </xdr:sp>
    <xdr:clientData/>
  </xdr:twoCellAnchor>
  <xdr:twoCellAnchor>
    <xdr:from>
      <xdr:col>11</xdr:col>
      <xdr:colOff>573937</xdr:colOff>
      <xdr:row>11</xdr:row>
      <xdr:rowOff>32120</xdr:rowOff>
    </xdr:from>
    <xdr:to>
      <xdr:col>17</xdr:col>
      <xdr:colOff>263820</xdr:colOff>
      <xdr:row>19</xdr:row>
      <xdr:rowOff>174549</xdr:rowOff>
    </xdr:to>
    <xdr:graphicFrame macro="">
      <xdr:nvGraphicFramePr>
        <xdr:cNvPr id="49" name="Chart 48">
          <a:extLst>
            <a:ext uri="{FF2B5EF4-FFF2-40B4-BE49-F238E27FC236}">
              <a16:creationId xmlns:a16="http://schemas.microsoft.com/office/drawing/2014/main" id="{B3D94A0D-CD41-4BAC-8618-560E1C704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540488</xdr:colOff>
      <xdr:row>22</xdr:row>
      <xdr:rowOff>79744</xdr:rowOff>
    </xdr:from>
    <xdr:to>
      <xdr:col>10</xdr:col>
      <xdr:colOff>0</xdr:colOff>
      <xdr:row>30</xdr:row>
      <xdr:rowOff>115186</xdr:rowOff>
    </xdr:to>
    <xdr:graphicFrame macro="">
      <xdr:nvGraphicFramePr>
        <xdr:cNvPr id="50" name="Chart 49">
          <a:extLst>
            <a:ext uri="{FF2B5EF4-FFF2-40B4-BE49-F238E27FC236}">
              <a16:creationId xmlns:a16="http://schemas.microsoft.com/office/drawing/2014/main" id="{0329EECC-A909-41D3-A969-F0852615D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67733</xdr:colOff>
      <xdr:row>22</xdr:row>
      <xdr:rowOff>8467</xdr:rowOff>
    </xdr:from>
    <xdr:to>
      <xdr:col>13</xdr:col>
      <xdr:colOff>152400</xdr:colOff>
      <xdr:row>30</xdr:row>
      <xdr:rowOff>67733</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82A82503-7ABA-47D1-92F1-0FBFECD1DF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163733" y="4031827"/>
              <a:ext cx="1913467" cy="15223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152400</xdr:colOff>
      <xdr:row>20</xdr:row>
      <xdr:rowOff>104775</xdr:rowOff>
    </xdr:from>
    <xdr:to>
      <xdr:col>17</xdr:col>
      <xdr:colOff>590550</xdr:colOff>
      <xdr:row>30</xdr:row>
      <xdr:rowOff>171450</xdr:rowOff>
    </xdr:to>
    <mc:AlternateContent xmlns:mc="http://schemas.openxmlformats.org/markup-compatibility/2006" xmlns:a14="http://schemas.microsoft.com/office/drawing/2010/main">
      <mc:Choice Requires="a14">
        <xdr:graphicFrame macro="">
          <xdr:nvGraphicFramePr>
            <xdr:cNvPr id="61" name="Gender 2">
              <a:extLst>
                <a:ext uri="{FF2B5EF4-FFF2-40B4-BE49-F238E27FC236}">
                  <a16:creationId xmlns:a16="http://schemas.microsoft.com/office/drawing/2014/main" id="{8D5A899D-6CA2-4E46-B0FF-E2D09A472D4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906000" y="3724275"/>
              <a:ext cx="1047750" cy="1876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270933</xdr:colOff>
      <xdr:row>20</xdr:row>
      <xdr:rowOff>93134</xdr:rowOff>
    </xdr:from>
    <xdr:to>
      <xdr:col>16</xdr:col>
      <xdr:colOff>123825</xdr:colOff>
      <xdr:row>30</xdr:row>
      <xdr:rowOff>152400</xdr:rowOff>
    </xdr:to>
    <mc:AlternateContent xmlns:mc="http://schemas.openxmlformats.org/markup-compatibility/2006" xmlns:a14="http://schemas.microsoft.com/office/drawing/2010/main">
      <mc:Choice Requires="a14">
        <xdr:graphicFrame macro="">
          <xdr:nvGraphicFramePr>
            <xdr:cNvPr id="62" name="Department 1">
              <a:extLst>
                <a:ext uri="{FF2B5EF4-FFF2-40B4-BE49-F238E27FC236}">
                  <a16:creationId xmlns:a16="http://schemas.microsoft.com/office/drawing/2014/main" id="{FBA3FDBF-1F80-4F05-8525-33F83A3AEB5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195733" y="3712634"/>
              <a:ext cx="1681692" cy="1869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0.25</cdr:x>
      <cdr:y>0.21951</cdr:y>
    </cdr:from>
    <cdr:to>
      <cdr:x>0.72483</cdr:x>
      <cdr:y>0.85366</cdr:y>
    </cdr:to>
    <cdr:sp macro="" textlink="RATING!$B$6">
      <cdr:nvSpPr>
        <cdr:cNvPr id="2" name="TextBox 1">
          <a:extLst xmlns:a="http://schemas.openxmlformats.org/drawingml/2006/main">
            <a:ext uri="{FF2B5EF4-FFF2-40B4-BE49-F238E27FC236}">
              <a16:creationId xmlns:a16="http://schemas.microsoft.com/office/drawing/2014/main" id="{2626F5B9-3E5C-8C96-003C-EE021FFF6F84}"/>
            </a:ext>
          </a:extLst>
        </cdr:cNvPr>
        <cdr:cNvSpPr txBox="1"/>
      </cdr:nvSpPr>
      <cdr:spPr>
        <a:xfrm xmlns:a="http://schemas.openxmlformats.org/drawingml/2006/main">
          <a:off x="315385" y="159835"/>
          <a:ext cx="599016" cy="461742"/>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t"/>
        <a:lstStyle xmlns:a="http://schemas.openxmlformats.org/drawingml/2006/main"/>
        <a:p xmlns:a="http://schemas.openxmlformats.org/drawingml/2006/main">
          <a:pPr algn="ctr"/>
          <a:fld id="{C3461001-C3AE-45A1-A2AF-2E97DAF6F6DA}" type="TxLink">
            <a:rPr lang="en-US" sz="1000" b="0" i="0" u="none" strike="noStrike" kern="1200">
              <a:solidFill>
                <a:schemeClr val="tx1"/>
              </a:solidFill>
              <a:latin typeface="Arial Black" panose="020B0A04020102020204" pitchFamily="34" charset="0"/>
              <a:ea typeface="Calibri"/>
              <a:cs typeface="Calibri"/>
            </a:rPr>
            <a:pPr algn="ctr"/>
            <a:t>2.8</a:t>
          </a:fld>
          <a:endParaRPr lang="en-IN" sz="1000" kern="1200">
            <a:solidFill>
              <a:schemeClr val="tx1"/>
            </a:solidFill>
            <a:latin typeface="Arial Black" panose="020B0A040201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6</xdr:col>
      <xdr:colOff>137160</xdr:colOff>
      <xdr:row>6</xdr:row>
      <xdr:rowOff>41910</xdr:rowOff>
    </xdr:from>
    <xdr:to>
      <xdr:col>11</xdr:col>
      <xdr:colOff>38100</xdr:colOff>
      <xdr:row>16</xdr:row>
      <xdr:rowOff>53340</xdr:rowOff>
    </xdr:to>
    <xdr:graphicFrame macro="">
      <xdr:nvGraphicFramePr>
        <xdr:cNvPr id="2" name="Chart 1">
          <a:extLst>
            <a:ext uri="{FF2B5EF4-FFF2-40B4-BE49-F238E27FC236}">
              <a16:creationId xmlns:a16="http://schemas.microsoft.com/office/drawing/2014/main" id="{D23CDBEF-9D12-64F4-848A-12145E0E4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495300</xdr:colOff>
      <xdr:row>3</xdr:row>
      <xdr:rowOff>68580</xdr:rowOff>
    </xdr:from>
    <xdr:to>
      <xdr:col>14</xdr:col>
      <xdr:colOff>495300</xdr:colOff>
      <xdr:row>16</xdr:row>
      <xdr:rowOff>158115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7195974-2088-9448-D301-699B8F9807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206740" y="617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1310640</xdr:colOff>
      <xdr:row>20</xdr:row>
      <xdr:rowOff>53340</xdr:rowOff>
    </xdr:from>
    <xdr:to>
      <xdr:col>4</xdr:col>
      <xdr:colOff>381000</xdr:colOff>
      <xdr:row>22</xdr:row>
      <xdr:rowOff>106680</xdr:rowOff>
    </xdr:to>
    <xdr:graphicFrame macro="">
      <xdr:nvGraphicFramePr>
        <xdr:cNvPr id="4" name="Chart 3">
          <a:extLst>
            <a:ext uri="{FF2B5EF4-FFF2-40B4-BE49-F238E27FC236}">
              <a16:creationId xmlns:a16="http://schemas.microsoft.com/office/drawing/2014/main" id="{BF2953A0-82E1-A73B-D9F8-85521466B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160020</xdr:colOff>
      <xdr:row>12</xdr:row>
      <xdr:rowOff>38100</xdr:rowOff>
    </xdr:from>
    <xdr:to>
      <xdr:col>14</xdr:col>
      <xdr:colOff>160020</xdr:colOff>
      <xdr:row>25</xdr:row>
      <xdr:rowOff>127635</xdr:rowOff>
    </xdr:to>
    <mc:AlternateContent xmlns:mc="http://schemas.openxmlformats.org/markup-compatibility/2006" xmlns:a14="http://schemas.microsoft.com/office/drawing/2010/main">
      <mc:Choice Requires="a14">
        <xdr:graphicFrame macro="">
          <xdr:nvGraphicFramePr>
            <xdr:cNvPr id="6" name="EducationField">
              <a:extLst>
                <a:ext uri="{FF2B5EF4-FFF2-40B4-BE49-F238E27FC236}">
                  <a16:creationId xmlns:a16="http://schemas.microsoft.com/office/drawing/2014/main" id="{7ED93303-1115-B957-DDB5-92EF54262AB2}"/>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7871460" y="2232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205740</xdr:colOff>
      <xdr:row>6</xdr:row>
      <xdr:rowOff>41910</xdr:rowOff>
    </xdr:from>
    <xdr:to>
      <xdr:col>13</xdr:col>
      <xdr:colOff>510540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CBD1F375-FACB-A835-2F8D-CA0406504A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ITA RAY" refreshedDate="46068.505863541664" createdVersion="8" refreshedVersion="8" minRefreshableVersion="3" recordCount="1470" xr:uid="{4CB7C74A-7C24-47A4-B377-ED25B11EDAA6}">
  <cacheSource type="worksheet">
    <worksheetSource name="Table1"/>
  </cacheSource>
  <cacheFields count="36">
    <cacheField name="Age" numFmtId="0">
      <sharedItems containsSemiMixedTypes="0" containsString="0" containsNumber="1" containsInteger="1" minValue="18" maxValue="60"/>
    </cacheField>
    <cacheField name="Age group" numFmtId="0">
      <sharedItems count="4">
        <s v="36-45"/>
        <s v="46+"/>
        <s v="26-35"/>
        <s v="18-2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6192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Travel_Rarely"/>
    <n v="1102"/>
    <x v="0"/>
    <n v="1"/>
    <n v="2"/>
    <x v="0"/>
    <n v="1"/>
    <n v="1"/>
    <n v="2"/>
    <x v="0"/>
    <n v="94"/>
    <n v="3"/>
    <n v="2"/>
    <x v="0"/>
    <n v="4"/>
    <x v="0"/>
    <n v="5993"/>
    <n v="19479"/>
    <n v="8"/>
    <s v="Y"/>
    <s v="Yes"/>
    <n v="11"/>
    <n v="3"/>
    <n v="1"/>
    <n v="80"/>
    <n v="0"/>
    <n v="8"/>
    <n v="0"/>
    <n v="1"/>
    <n v="6"/>
    <n v="4"/>
    <n v="0"/>
    <n v="5"/>
  </r>
  <r>
    <n v="49"/>
    <x v="1"/>
    <x v="1"/>
    <s v="Travel_Frequently"/>
    <n v="279"/>
    <x v="1"/>
    <n v="8"/>
    <n v="1"/>
    <x v="0"/>
    <n v="1"/>
    <n v="2"/>
    <n v="3"/>
    <x v="1"/>
    <n v="61"/>
    <n v="2"/>
    <n v="2"/>
    <x v="1"/>
    <n v="2"/>
    <x v="1"/>
    <n v="5130"/>
    <n v="24907"/>
    <n v="1"/>
    <s v="Y"/>
    <s v="No"/>
    <n v="23"/>
    <n v="4"/>
    <n v="4"/>
    <n v="80"/>
    <n v="1"/>
    <n v="10"/>
    <n v="3"/>
    <n v="3"/>
    <n v="10"/>
    <n v="7"/>
    <n v="1"/>
    <n v="7"/>
  </r>
  <r>
    <n v="37"/>
    <x v="0"/>
    <x v="0"/>
    <s v="Travel_Rarely"/>
    <n v="1373"/>
    <x v="1"/>
    <n v="2"/>
    <n v="2"/>
    <x v="1"/>
    <n v="1"/>
    <n v="4"/>
    <n v="4"/>
    <x v="1"/>
    <n v="92"/>
    <n v="2"/>
    <n v="1"/>
    <x v="2"/>
    <n v="3"/>
    <x v="0"/>
    <n v="2090"/>
    <n v="2396"/>
    <n v="6"/>
    <s v="Y"/>
    <s v="Yes"/>
    <n v="15"/>
    <n v="3"/>
    <n v="2"/>
    <n v="80"/>
    <n v="0"/>
    <n v="7"/>
    <n v="3"/>
    <n v="3"/>
    <n v="0"/>
    <n v="0"/>
    <n v="0"/>
    <n v="0"/>
  </r>
  <r>
    <n v="33"/>
    <x v="2"/>
    <x v="1"/>
    <s v="Travel_Frequently"/>
    <n v="1392"/>
    <x v="1"/>
    <n v="3"/>
    <n v="4"/>
    <x v="0"/>
    <n v="1"/>
    <n v="5"/>
    <n v="4"/>
    <x v="0"/>
    <n v="56"/>
    <n v="3"/>
    <n v="1"/>
    <x v="1"/>
    <n v="3"/>
    <x v="1"/>
    <n v="2909"/>
    <n v="23159"/>
    <n v="1"/>
    <s v="Y"/>
    <s v="Yes"/>
    <n v="11"/>
    <n v="3"/>
    <n v="3"/>
    <n v="80"/>
    <n v="0"/>
    <n v="8"/>
    <n v="3"/>
    <n v="3"/>
    <n v="8"/>
    <n v="7"/>
    <n v="3"/>
    <n v="0"/>
  </r>
  <r>
    <n v="27"/>
    <x v="2"/>
    <x v="1"/>
    <s v="Travel_Rarely"/>
    <n v="591"/>
    <x v="1"/>
    <n v="2"/>
    <n v="1"/>
    <x v="2"/>
    <n v="1"/>
    <n v="7"/>
    <n v="1"/>
    <x v="1"/>
    <n v="40"/>
    <n v="3"/>
    <n v="1"/>
    <x v="2"/>
    <n v="2"/>
    <x v="1"/>
    <n v="3468"/>
    <n v="16632"/>
    <n v="9"/>
    <s v="Y"/>
    <s v="No"/>
    <n v="12"/>
    <n v="3"/>
    <n v="4"/>
    <n v="80"/>
    <n v="1"/>
    <n v="6"/>
    <n v="3"/>
    <n v="3"/>
    <n v="2"/>
    <n v="2"/>
    <n v="2"/>
    <n v="2"/>
  </r>
  <r>
    <n v="32"/>
    <x v="2"/>
    <x v="1"/>
    <s v="Travel_Frequently"/>
    <n v="1005"/>
    <x v="1"/>
    <n v="2"/>
    <n v="2"/>
    <x v="0"/>
    <n v="1"/>
    <n v="8"/>
    <n v="4"/>
    <x v="1"/>
    <n v="79"/>
    <n v="3"/>
    <n v="1"/>
    <x v="2"/>
    <n v="4"/>
    <x v="0"/>
    <n v="3068"/>
    <n v="11864"/>
    <n v="0"/>
    <s v="Y"/>
    <s v="No"/>
    <n v="13"/>
    <n v="3"/>
    <n v="3"/>
    <n v="80"/>
    <n v="0"/>
    <n v="8"/>
    <n v="2"/>
    <n v="2"/>
    <n v="7"/>
    <n v="7"/>
    <n v="3"/>
    <n v="6"/>
  </r>
  <r>
    <n v="59"/>
    <x v="1"/>
    <x v="1"/>
    <s v="Travel_Rarely"/>
    <n v="1324"/>
    <x v="1"/>
    <n v="3"/>
    <n v="3"/>
    <x v="2"/>
    <n v="1"/>
    <n v="10"/>
    <n v="3"/>
    <x v="0"/>
    <n v="81"/>
    <n v="4"/>
    <n v="1"/>
    <x v="2"/>
    <n v="1"/>
    <x v="1"/>
    <n v="2670"/>
    <n v="9964"/>
    <n v="4"/>
    <s v="Y"/>
    <s v="Yes"/>
    <n v="20"/>
    <n v="4"/>
    <n v="1"/>
    <n v="80"/>
    <n v="3"/>
    <n v="12"/>
    <n v="3"/>
    <n v="2"/>
    <n v="1"/>
    <n v="0"/>
    <n v="0"/>
    <n v="0"/>
  </r>
  <r>
    <n v="30"/>
    <x v="2"/>
    <x v="1"/>
    <s v="Travel_Rarely"/>
    <n v="1358"/>
    <x v="1"/>
    <n v="24"/>
    <n v="1"/>
    <x v="0"/>
    <n v="1"/>
    <n v="11"/>
    <n v="4"/>
    <x v="1"/>
    <n v="67"/>
    <n v="3"/>
    <n v="1"/>
    <x v="2"/>
    <n v="3"/>
    <x v="2"/>
    <n v="2693"/>
    <n v="13335"/>
    <n v="1"/>
    <s v="Y"/>
    <s v="No"/>
    <n v="22"/>
    <n v="4"/>
    <n v="2"/>
    <n v="80"/>
    <n v="1"/>
    <n v="1"/>
    <n v="2"/>
    <n v="3"/>
    <n v="1"/>
    <n v="0"/>
    <n v="0"/>
    <n v="0"/>
  </r>
  <r>
    <n v="38"/>
    <x v="0"/>
    <x v="1"/>
    <s v="Travel_Frequently"/>
    <n v="216"/>
    <x v="1"/>
    <n v="23"/>
    <n v="3"/>
    <x v="0"/>
    <n v="1"/>
    <n v="12"/>
    <n v="4"/>
    <x v="1"/>
    <n v="44"/>
    <n v="2"/>
    <n v="3"/>
    <x v="3"/>
    <n v="3"/>
    <x v="0"/>
    <n v="9526"/>
    <n v="8787"/>
    <n v="0"/>
    <s v="Y"/>
    <s v="No"/>
    <n v="21"/>
    <n v="4"/>
    <n v="2"/>
    <n v="80"/>
    <n v="0"/>
    <n v="10"/>
    <n v="2"/>
    <n v="3"/>
    <n v="9"/>
    <n v="7"/>
    <n v="1"/>
    <n v="8"/>
  </r>
  <r>
    <n v="36"/>
    <x v="0"/>
    <x v="1"/>
    <s v="Travel_Rarely"/>
    <n v="1299"/>
    <x v="1"/>
    <n v="27"/>
    <n v="3"/>
    <x v="2"/>
    <n v="1"/>
    <n v="13"/>
    <n v="3"/>
    <x v="1"/>
    <n v="94"/>
    <n v="3"/>
    <n v="2"/>
    <x v="4"/>
    <n v="3"/>
    <x v="1"/>
    <n v="5237"/>
    <n v="16577"/>
    <n v="6"/>
    <s v="Y"/>
    <s v="No"/>
    <n v="13"/>
    <n v="3"/>
    <n v="2"/>
    <n v="80"/>
    <n v="2"/>
    <n v="17"/>
    <n v="3"/>
    <n v="2"/>
    <n v="7"/>
    <n v="7"/>
    <n v="7"/>
    <n v="7"/>
  </r>
  <r>
    <n v="35"/>
    <x v="2"/>
    <x v="1"/>
    <s v="Travel_Rarely"/>
    <n v="809"/>
    <x v="1"/>
    <n v="16"/>
    <n v="3"/>
    <x v="2"/>
    <n v="1"/>
    <n v="14"/>
    <n v="1"/>
    <x v="1"/>
    <n v="84"/>
    <n v="4"/>
    <n v="1"/>
    <x v="2"/>
    <n v="2"/>
    <x v="1"/>
    <n v="2426"/>
    <n v="16479"/>
    <n v="0"/>
    <s v="Y"/>
    <s v="No"/>
    <n v="13"/>
    <n v="3"/>
    <n v="3"/>
    <n v="80"/>
    <n v="1"/>
    <n v="6"/>
    <n v="5"/>
    <n v="3"/>
    <n v="5"/>
    <n v="4"/>
    <n v="0"/>
    <n v="3"/>
  </r>
  <r>
    <n v="29"/>
    <x v="2"/>
    <x v="1"/>
    <s v="Travel_Rarely"/>
    <n v="153"/>
    <x v="1"/>
    <n v="15"/>
    <n v="2"/>
    <x v="0"/>
    <n v="1"/>
    <n v="15"/>
    <n v="4"/>
    <x v="0"/>
    <n v="49"/>
    <n v="2"/>
    <n v="2"/>
    <x v="2"/>
    <n v="3"/>
    <x v="0"/>
    <n v="4193"/>
    <n v="12682"/>
    <n v="0"/>
    <s v="Y"/>
    <s v="Yes"/>
    <n v="12"/>
    <n v="3"/>
    <n v="4"/>
    <n v="80"/>
    <n v="0"/>
    <n v="10"/>
    <n v="3"/>
    <n v="3"/>
    <n v="9"/>
    <n v="5"/>
    <n v="0"/>
    <n v="8"/>
  </r>
  <r>
    <n v="31"/>
    <x v="2"/>
    <x v="1"/>
    <s v="Travel_Rarely"/>
    <n v="670"/>
    <x v="1"/>
    <n v="26"/>
    <n v="1"/>
    <x v="0"/>
    <n v="1"/>
    <n v="16"/>
    <n v="1"/>
    <x v="1"/>
    <n v="31"/>
    <n v="3"/>
    <n v="1"/>
    <x v="1"/>
    <n v="3"/>
    <x v="2"/>
    <n v="2911"/>
    <n v="15170"/>
    <n v="1"/>
    <s v="Y"/>
    <s v="No"/>
    <n v="17"/>
    <n v="3"/>
    <n v="4"/>
    <n v="80"/>
    <n v="1"/>
    <n v="5"/>
    <n v="1"/>
    <n v="2"/>
    <n v="5"/>
    <n v="2"/>
    <n v="4"/>
    <n v="3"/>
  </r>
  <r>
    <n v="34"/>
    <x v="2"/>
    <x v="1"/>
    <s v="Travel_Rarely"/>
    <n v="1346"/>
    <x v="1"/>
    <n v="19"/>
    <n v="2"/>
    <x v="2"/>
    <n v="1"/>
    <n v="18"/>
    <n v="2"/>
    <x v="1"/>
    <n v="93"/>
    <n v="3"/>
    <n v="1"/>
    <x v="2"/>
    <n v="4"/>
    <x v="2"/>
    <n v="2661"/>
    <n v="8758"/>
    <n v="0"/>
    <s v="Y"/>
    <s v="No"/>
    <n v="11"/>
    <n v="3"/>
    <n v="3"/>
    <n v="80"/>
    <n v="1"/>
    <n v="3"/>
    <n v="2"/>
    <n v="3"/>
    <n v="2"/>
    <n v="2"/>
    <n v="1"/>
    <n v="2"/>
  </r>
  <r>
    <n v="28"/>
    <x v="2"/>
    <x v="0"/>
    <s v="Travel_Rarely"/>
    <n v="103"/>
    <x v="1"/>
    <n v="24"/>
    <n v="3"/>
    <x v="0"/>
    <n v="1"/>
    <n v="19"/>
    <n v="3"/>
    <x v="1"/>
    <n v="50"/>
    <n v="2"/>
    <n v="1"/>
    <x v="2"/>
    <n v="3"/>
    <x v="0"/>
    <n v="2028"/>
    <n v="12947"/>
    <n v="5"/>
    <s v="Y"/>
    <s v="Yes"/>
    <n v="14"/>
    <n v="3"/>
    <n v="2"/>
    <n v="80"/>
    <n v="0"/>
    <n v="6"/>
    <n v="4"/>
    <n v="3"/>
    <n v="4"/>
    <n v="2"/>
    <n v="0"/>
    <n v="3"/>
  </r>
  <r>
    <n v="29"/>
    <x v="2"/>
    <x v="1"/>
    <s v="Travel_Rarely"/>
    <n v="1389"/>
    <x v="1"/>
    <n v="21"/>
    <n v="4"/>
    <x v="0"/>
    <n v="1"/>
    <n v="20"/>
    <n v="2"/>
    <x v="0"/>
    <n v="51"/>
    <n v="4"/>
    <n v="3"/>
    <x v="3"/>
    <n v="1"/>
    <x v="2"/>
    <n v="9980"/>
    <n v="10195"/>
    <n v="1"/>
    <s v="Y"/>
    <s v="No"/>
    <n v="11"/>
    <n v="3"/>
    <n v="3"/>
    <n v="80"/>
    <n v="1"/>
    <n v="10"/>
    <n v="1"/>
    <n v="3"/>
    <n v="10"/>
    <n v="9"/>
    <n v="8"/>
    <n v="8"/>
  </r>
  <r>
    <n v="32"/>
    <x v="2"/>
    <x v="1"/>
    <s v="Travel_Rarely"/>
    <n v="334"/>
    <x v="1"/>
    <n v="5"/>
    <n v="2"/>
    <x v="0"/>
    <n v="1"/>
    <n v="21"/>
    <n v="1"/>
    <x v="1"/>
    <n v="80"/>
    <n v="4"/>
    <n v="1"/>
    <x v="1"/>
    <n v="2"/>
    <x v="2"/>
    <n v="3298"/>
    <n v="15053"/>
    <n v="0"/>
    <s v="Y"/>
    <s v="Yes"/>
    <n v="12"/>
    <n v="3"/>
    <n v="4"/>
    <n v="80"/>
    <n v="2"/>
    <n v="7"/>
    <n v="5"/>
    <n v="2"/>
    <n v="6"/>
    <n v="2"/>
    <n v="0"/>
    <n v="5"/>
  </r>
  <r>
    <n v="22"/>
    <x v="3"/>
    <x v="1"/>
    <s v="Non-Travel"/>
    <n v="1123"/>
    <x v="1"/>
    <n v="16"/>
    <n v="2"/>
    <x v="2"/>
    <n v="1"/>
    <n v="22"/>
    <n v="4"/>
    <x v="1"/>
    <n v="96"/>
    <n v="4"/>
    <n v="1"/>
    <x v="2"/>
    <n v="4"/>
    <x v="2"/>
    <n v="2935"/>
    <n v="7324"/>
    <n v="1"/>
    <s v="Y"/>
    <s v="Yes"/>
    <n v="13"/>
    <n v="3"/>
    <n v="2"/>
    <n v="80"/>
    <n v="2"/>
    <n v="1"/>
    <n v="2"/>
    <n v="2"/>
    <n v="1"/>
    <n v="0"/>
    <n v="0"/>
    <n v="0"/>
  </r>
  <r>
    <n v="53"/>
    <x v="1"/>
    <x v="1"/>
    <s v="Travel_Rarely"/>
    <n v="1219"/>
    <x v="0"/>
    <n v="2"/>
    <n v="4"/>
    <x v="0"/>
    <n v="1"/>
    <n v="23"/>
    <n v="1"/>
    <x v="0"/>
    <n v="78"/>
    <n v="2"/>
    <n v="4"/>
    <x v="5"/>
    <n v="4"/>
    <x v="1"/>
    <n v="15427"/>
    <n v="22021"/>
    <n v="2"/>
    <s v="Y"/>
    <s v="No"/>
    <n v="16"/>
    <n v="3"/>
    <n v="3"/>
    <n v="80"/>
    <n v="0"/>
    <n v="31"/>
    <n v="3"/>
    <n v="3"/>
    <n v="25"/>
    <n v="8"/>
    <n v="3"/>
    <n v="7"/>
  </r>
  <r>
    <n v="38"/>
    <x v="0"/>
    <x v="1"/>
    <s v="Travel_Rarely"/>
    <n v="371"/>
    <x v="1"/>
    <n v="2"/>
    <n v="3"/>
    <x v="0"/>
    <n v="1"/>
    <n v="24"/>
    <n v="4"/>
    <x v="1"/>
    <n v="45"/>
    <n v="3"/>
    <n v="1"/>
    <x v="1"/>
    <n v="4"/>
    <x v="0"/>
    <n v="3944"/>
    <n v="4306"/>
    <n v="5"/>
    <s v="Y"/>
    <s v="Yes"/>
    <n v="11"/>
    <n v="3"/>
    <n v="3"/>
    <n v="80"/>
    <n v="0"/>
    <n v="6"/>
    <n v="3"/>
    <n v="3"/>
    <n v="3"/>
    <n v="2"/>
    <n v="1"/>
    <n v="2"/>
  </r>
  <r>
    <n v="24"/>
    <x v="3"/>
    <x v="1"/>
    <s v="Non-Travel"/>
    <n v="673"/>
    <x v="1"/>
    <n v="11"/>
    <n v="2"/>
    <x v="1"/>
    <n v="1"/>
    <n v="26"/>
    <n v="1"/>
    <x v="0"/>
    <n v="96"/>
    <n v="4"/>
    <n v="2"/>
    <x v="3"/>
    <n v="3"/>
    <x v="2"/>
    <n v="4011"/>
    <n v="8232"/>
    <n v="0"/>
    <s v="Y"/>
    <s v="No"/>
    <n v="18"/>
    <n v="3"/>
    <n v="4"/>
    <n v="80"/>
    <n v="1"/>
    <n v="5"/>
    <n v="5"/>
    <n v="2"/>
    <n v="4"/>
    <n v="2"/>
    <n v="1"/>
    <n v="3"/>
  </r>
  <r>
    <n v="36"/>
    <x v="0"/>
    <x v="0"/>
    <s v="Travel_Rarely"/>
    <n v="1218"/>
    <x v="0"/>
    <n v="9"/>
    <n v="4"/>
    <x v="0"/>
    <n v="1"/>
    <n v="27"/>
    <n v="3"/>
    <x v="1"/>
    <n v="82"/>
    <n v="2"/>
    <n v="1"/>
    <x v="6"/>
    <n v="1"/>
    <x v="0"/>
    <n v="3407"/>
    <n v="6986"/>
    <n v="7"/>
    <s v="Y"/>
    <s v="No"/>
    <n v="23"/>
    <n v="4"/>
    <n v="2"/>
    <n v="80"/>
    <n v="0"/>
    <n v="10"/>
    <n v="4"/>
    <n v="3"/>
    <n v="5"/>
    <n v="3"/>
    <n v="0"/>
    <n v="3"/>
  </r>
  <r>
    <n v="34"/>
    <x v="2"/>
    <x v="1"/>
    <s v="Travel_Rarely"/>
    <n v="419"/>
    <x v="1"/>
    <n v="7"/>
    <n v="4"/>
    <x v="0"/>
    <n v="1"/>
    <n v="28"/>
    <n v="1"/>
    <x v="0"/>
    <n v="53"/>
    <n v="3"/>
    <n v="3"/>
    <x v="7"/>
    <n v="2"/>
    <x v="0"/>
    <n v="11994"/>
    <n v="21293"/>
    <n v="0"/>
    <s v="Y"/>
    <s v="No"/>
    <n v="11"/>
    <n v="3"/>
    <n v="3"/>
    <n v="80"/>
    <n v="0"/>
    <n v="13"/>
    <n v="4"/>
    <n v="3"/>
    <n v="12"/>
    <n v="6"/>
    <n v="2"/>
    <n v="11"/>
  </r>
  <r>
    <n v="21"/>
    <x v="3"/>
    <x v="1"/>
    <s v="Travel_Rarely"/>
    <n v="391"/>
    <x v="1"/>
    <n v="15"/>
    <n v="2"/>
    <x v="0"/>
    <n v="1"/>
    <n v="30"/>
    <n v="3"/>
    <x v="1"/>
    <n v="96"/>
    <n v="3"/>
    <n v="1"/>
    <x v="1"/>
    <n v="4"/>
    <x v="0"/>
    <n v="1232"/>
    <n v="19281"/>
    <n v="1"/>
    <s v="Y"/>
    <s v="No"/>
    <n v="14"/>
    <n v="3"/>
    <n v="4"/>
    <n v="80"/>
    <n v="0"/>
    <n v="0"/>
    <n v="6"/>
    <n v="3"/>
    <n v="0"/>
    <n v="0"/>
    <n v="0"/>
    <n v="0"/>
  </r>
  <r>
    <n v="34"/>
    <x v="2"/>
    <x v="0"/>
    <s v="Travel_Rarely"/>
    <n v="699"/>
    <x v="1"/>
    <n v="6"/>
    <n v="1"/>
    <x v="2"/>
    <n v="1"/>
    <n v="31"/>
    <n v="2"/>
    <x v="1"/>
    <n v="83"/>
    <n v="3"/>
    <n v="1"/>
    <x v="1"/>
    <n v="1"/>
    <x v="0"/>
    <n v="2960"/>
    <n v="17102"/>
    <n v="2"/>
    <s v="Y"/>
    <s v="No"/>
    <n v="11"/>
    <n v="3"/>
    <n v="3"/>
    <n v="80"/>
    <n v="0"/>
    <n v="8"/>
    <n v="2"/>
    <n v="3"/>
    <n v="4"/>
    <n v="2"/>
    <n v="1"/>
    <n v="3"/>
  </r>
  <r>
    <n v="53"/>
    <x v="1"/>
    <x v="1"/>
    <s v="Travel_Rarely"/>
    <n v="1282"/>
    <x v="1"/>
    <n v="5"/>
    <n v="3"/>
    <x v="1"/>
    <n v="1"/>
    <n v="32"/>
    <n v="3"/>
    <x v="0"/>
    <n v="58"/>
    <n v="3"/>
    <n v="5"/>
    <x v="5"/>
    <n v="3"/>
    <x v="2"/>
    <n v="19094"/>
    <n v="10735"/>
    <n v="4"/>
    <s v="Y"/>
    <s v="No"/>
    <n v="11"/>
    <n v="3"/>
    <n v="4"/>
    <n v="80"/>
    <n v="1"/>
    <n v="26"/>
    <n v="3"/>
    <n v="2"/>
    <n v="14"/>
    <n v="13"/>
    <n v="4"/>
    <n v="8"/>
  </r>
  <r>
    <n v="32"/>
    <x v="2"/>
    <x v="0"/>
    <s v="Travel_Frequently"/>
    <n v="1125"/>
    <x v="1"/>
    <n v="16"/>
    <n v="1"/>
    <x v="0"/>
    <n v="1"/>
    <n v="33"/>
    <n v="2"/>
    <x v="0"/>
    <n v="72"/>
    <n v="1"/>
    <n v="1"/>
    <x v="1"/>
    <n v="1"/>
    <x v="0"/>
    <n v="3919"/>
    <n v="4681"/>
    <n v="1"/>
    <s v="Y"/>
    <s v="Yes"/>
    <n v="22"/>
    <n v="4"/>
    <n v="2"/>
    <n v="80"/>
    <n v="0"/>
    <n v="10"/>
    <n v="5"/>
    <n v="3"/>
    <n v="10"/>
    <n v="2"/>
    <n v="6"/>
    <n v="7"/>
  </r>
  <r>
    <n v="42"/>
    <x v="0"/>
    <x v="1"/>
    <s v="Travel_Rarely"/>
    <n v="691"/>
    <x v="0"/>
    <n v="8"/>
    <n v="4"/>
    <x v="3"/>
    <n v="1"/>
    <n v="35"/>
    <n v="3"/>
    <x v="1"/>
    <n v="48"/>
    <n v="3"/>
    <n v="2"/>
    <x v="0"/>
    <n v="2"/>
    <x v="1"/>
    <n v="6825"/>
    <n v="21173"/>
    <n v="0"/>
    <s v="Y"/>
    <s v="No"/>
    <n v="11"/>
    <n v="3"/>
    <n v="4"/>
    <n v="80"/>
    <n v="1"/>
    <n v="10"/>
    <n v="2"/>
    <n v="3"/>
    <n v="9"/>
    <n v="7"/>
    <n v="4"/>
    <n v="2"/>
  </r>
  <r>
    <n v="44"/>
    <x v="0"/>
    <x v="1"/>
    <s v="Travel_Rarely"/>
    <n v="477"/>
    <x v="1"/>
    <n v="7"/>
    <n v="4"/>
    <x v="2"/>
    <n v="1"/>
    <n v="36"/>
    <n v="1"/>
    <x v="0"/>
    <n v="42"/>
    <n v="2"/>
    <n v="3"/>
    <x v="4"/>
    <n v="4"/>
    <x v="1"/>
    <n v="10248"/>
    <n v="2094"/>
    <n v="3"/>
    <s v="Y"/>
    <s v="No"/>
    <n v="14"/>
    <n v="3"/>
    <n v="4"/>
    <n v="80"/>
    <n v="1"/>
    <n v="24"/>
    <n v="4"/>
    <n v="3"/>
    <n v="22"/>
    <n v="6"/>
    <n v="5"/>
    <n v="17"/>
  </r>
  <r>
    <n v="46"/>
    <x v="1"/>
    <x v="1"/>
    <s v="Travel_Rarely"/>
    <n v="705"/>
    <x v="0"/>
    <n v="2"/>
    <n v="4"/>
    <x v="3"/>
    <n v="1"/>
    <n v="38"/>
    <n v="2"/>
    <x v="0"/>
    <n v="83"/>
    <n v="3"/>
    <n v="5"/>
    <x v="5"/>
    <n v="1"/>
    <x v="0"/>
    <n v="18947"/>
    <n v="22822"/>
    <n v="3"/>
    <s v="Y"/>
    <s v="No"/>
    <n v="12"/>
    <n v="3"/>
    <n v="4"/>
    <n v="80"/>
    <n v="0"/>
    <n v="22"/>
    <n v="2"/>
    <n v="2"/>
    <n v="2"/>
    <n v="2"/>
    <n v="2"/>
    <n v="1"/>
  </r>
  <r>
    <n v="33"/>
    <x v="2"/>
    <x v="1"/>
    <s v="Travel_Rarely"/>
    <n v="924"/>
    <x v="1"/>
    <n v="2"/>
    <n v="3"/>
    <x v="2"/>
    <n v="1"/>
    <n v="39"/>
    <n v="3"/>
    <x v="1"/>
    <n v="78"/>
    <n v="3"/>
    <n v="1"/>
    <x v="2"/>
    <n v="4"/>
    <x v="0"/>
    <n v="2496"/>
    <n v="6670"/>
    <n v="4"/>
    <s v="Y"/>
    <s v="No"/>
    <n v="11"/>
    <n v="3"/>
    <n v="4"/>
    <n v="80"/>
    <n v="0"/>
    <n v="7"/>
    <n v="3"/>
    <n v="3"/>
    <n v="1"/>
    <n v="1"/>
    <n v="0"/>
    <n v="0"/>
  </r>
  <r>
    <n v="44"/>
    <x v="0"/>
    <x v="1"/>
    <s v="Travel_Rarely"/>
    <n v="1459"/>
    <x v="1"/>
    <n v="10"/>
    <n v="4"/>
    <x v="1"/>
    <n v="1"/>
    <n v="40"/>
    <n v="4"/>
    <x v="1"/>
    <n v="41"/>
    <n v="3"/>
    <n v="2"/>
    <x v="4"/>
    <n v="4"/>
    <x v="1"/>
    <n v="6465"/>
    <n v="19121"/>
    <n v="2"/>
    <s v="Y"/>
    <s v="Yes"/>
    <n v="13"/>
    <n v="3"/>
    <n v="4"/>
    <n v="80"/>
    <n v="0"/>
    <n v="9"/>
    <n v="5"/>
    <n v="4"/>
    <n v="4"/>
    <n v="2"/>
    <n v="1"/>
    <n v="3"/>
  </r>
  <r>
    <n v="30"/>
    <x v="2"/>
    <x v="1"/>
    <s v="Travel_Rarely"/>
    <n v="125"/>
    <x v="1"/>
    <n v="9"/>
    <n v="2"/>
    <x v="2"/>
    <n v="1"/>
    <n v="41"/>
    <n v="4"/>
    <x v="1"/>
    <n v="83"/>
    <n v="2"/>
    <n v="1"/>
    <x v="2"/>
    <n v="3"/>
    <x v="0"/>
    <n v="2206"/>
    <n v="16117"/>
    <n v="1"/>
    <s v="Y"/>
    <s v="No"/>
    <n v="13"/>
    <n v="3"/>
    <n v="1"/>
    <n v="80"/>
    <n v="0"/>
    <n v="10"/>
    <n v="5"/>
    <n v="3"/>
    <n v="10"/>
    <n v="0"/>
    <n v="1"/>
    <n v="8"/>
  </r>
  <r>
    <n v="39"/>
    <x v="0"/>
    <x v="0"/>
    <s v="Travel_Rarely"/>
    <n v="895"/>
    <x v="0"/>
    <n v="5"/>
    <n v="3"/>
    <x v="4"/>
    <n v="1"/>
    <n v="42"/>
    <n v="4"/>
    <x v="1"/>
    <n v="56"/>
    <n v="3"/>
    <n v="2"/>
    <x v="6"/>
    <n v="4"/>
    <x v="1"/>
    <n v="2086"/>
    <n v="3335"/>
    <n v="3"/>
    <s v="Y"/>
    <s v="No"/>
    <n v="14"/>
    <n v="3"/>
    <n v="3"/>
    <n v="80"/>
    <n v="1"/>
    <n v="19"/>
    <n v="6"/>
    <n v="4"/>
    <n v="1"/>
    <n v="0"/>
    <n v="0"/>
    <n v="0"/>
  </r>
  <r>
    <n v="24"/>
    <x v="3"/>
    <x v="0"/>
    <s v="Travel_Rarely"/>
    <n v="813"/>
    <x v="1"/>
    <n v="1"/>
    <n v="3"/>
    <x v="2"/>
    <n v="1"/>
    <n v="45"/>
    <n v="2"/>
    <x v="1"/>
    <n v="61"/>
    <n v="3"/>
    <n v="1"/>
    <x v="1"/>
    <n v="4"/>
    <x v="1"/>
    <n v="2293"/>
    <n v="3020"/>
    <n v="2"/>
    <s v="Y"/>
    <s v="Yes"/>
    <n v="16"/>
    <n v="3"/>
    <n v="1"/>
    <n v="80"/>
    <n v="1"/>
    <n v="6"/>
    <n v="2"/>
    <n v="2"/>
    <n v="2"/>
    <n v="0"/>
    <n v="2"/>
    <n v="0"/>
  </r>
  <r>
    <n v="43"/>
    <x v="0"/>
    <x v="1"/>
    <s v="Travel_Rarely"/>
    <n v="1273"/>
    <x v="1"/>
    <n v="2"/>
    <n v="2"/>
    <x v="2"/>
    <n v="1"/>
    <n v="46"/>
    <n v="4"/>
    <x v="0"/>
    <n v="72"/>
    <n v="4"/>
    <n v="1"/>
    <x v="1"/>
    <n v="3"/>
    <x v="2"/>
    <n v="2645"/>
    <n v="21923"/>
    <n v="1"/>
    <s v="Y"/>
    <s v="No"/>
    <n v="12"/>
    <n v="3"/>
    <n v="4"/>
    <n v="80"/>
    <n v="2"/>
    <n v="6"/>
    <n v="3"/>
    <n v="2"/>
    <n v="5"/>
    <n v="3"/>
    <n v="1"/>
    <n v="4"/>
  </r>
  <r>
    <n v="50"/>
    <x v="1"/>
    <x v="0"/>
    <s v="Travel_Rarely"/>
    <n v="869"/>
    <x v="0"/>
    <n v="3"/>
    <n v="2"/>
    <x v="3"/>
    <n v="1"/>
    <n v="47"/>
    <n v="1"/>
    <x v="1"/>
    <n v="86"/>
    <n v="2"/>
    <n v="1"/>
    <x v="6"/>
    <n v="3"/>
    <x v="1"/>
    <n v="2683"/>
    <n v="3810"/>
    <n v="1"/>
    <s v="Y"/>
    <s v="Yes"/>
    <n v="14"/>
    <n v="3"/>
    <n v="3"/>
    <n v="80"/>
    <n v="0"/>
    <n v="3"/>
    <n v="2"/>
    <n v="3"/>
    <n v="3"/>
    <n v="2"/>
    <n v="0"/>
    <n v="2"/>
  </r>
  <r>
    <n v="35"/>
    <x v="2"/>
    <x v="1"/>
    <s v="Travel_Rarely"/>
    <n v="890"/>
    <x v="0"/>
    <n v="2"/>
    <n v="3"/>
    <x v="3"/>
    <n v="1"/>
    <n v="49"/>
    <n v="4"/>
    <x v="0"/>
    <n v="97"/>
    <n v="3"/>
    <n v="1"/>
    <x v="6"/>
    <n v="4"/>
    <x v="1"/>
    <n v="2014"/>
    <n v="9687"/>
    <n v="1"/>
    <s v="Y"/>
    <s v="No"/>
    <n v="13"/>
    <n v="3"/>
    <n v="1"/>
    <n v="80"/>
    <n v="0"/>
    <n v="2"/>
    <n v="3"/>
    <n v="3"/>
    <n v="2"/>
    <n v="2"/>
    <n v="2"/>
    <n v="2"/>
  </r>
  <r>
    <n v="36"/>
    <x v="0"/>
    <x v="1"/>
    <s v="Travel_Rarely"/>
    <n v="852"/>
    <x v="1"/>
    <n v="5"/>
    <n v="4"/>
    <x v="0"/>
    <n v="1"/>
    <n v="51"/>
    <n v="2"/>
    <x v="0"/>
    <n v="82"/>
    <n v="2"/>
    <n v="1"/>
    <x v="1"/>
    <n v="1"/>
    <x v="1"/>
    <n v="3419"/>
    <n v="13072"/>
    <n v="9"/>
    <s v="Y"/>
    <s v="Yes"/>
    <n v="14"/>
    <n v="3"/>
    <n v="4"/>
    <n v="80"/>
    <n v="1"/>
    <n v="6"/>
    <n v="3"/>
    <n v="4"/>
    <n v="1"/>
    <n v="1"/>
    <n v="0"/>
    <n v="0"/>
  </r>
  <r>
    <n v="33"/>
    <x v="2"/>
    <x v="1"/>
    <s v="Travel_Frequently"/>
    <n v="1141"/>
    <x v="0"/>
    <n v="1"/>
    <n v="3"/>
    <x v="0"/>
    <n v="1"/>
    <n v="52"/>
    <n v="3"/>
    <x v="0"/>
    <n v="42"/>
    <n v="4"/>
    <n v="2"/>
    <x v="0"/>
    <n v="1"/>
    <x v="1"/>
    <n v="5376"/>
    <n v="3193"/>
    <n v="2"/>
    <s v="Y"/>
    <s v="No"/>
    <n v="19"/>
    <n v="3"/>
    <n v="1"/>
    <n v="80"/>
    <n v="2"/>
    <n v="10"/>
    <n v="3"/>
    <n v="3"/>
    <n v="5"/>
    <n v="3"/>
    <n v="1"/>
    <n v="3"/>
  </r>
  <r>
    <n v="35"/>
    <x v="2"/>
    <x v="1"/>
    <s v="Travel_Rarely"/>
    <n v="464"/>
    <x v="1"/>
    <n v="4"/>
    <n v="2"/>
    <x v="1"/>
    <n v="1"/>
    <n v="53"/>
    <n v="3"/>
    <x v="1"/>
    <n v="75"/>
    <n v="3"/>
    <n v="1"/>
    <x v="2"/>
    <n v="4"/>
    <x v="2"/>
    <n v="1951"/>
    <n v="10910"/>
    <n v="1"/>
    <s v="Y"/>
    <s v="No"/>
    <n v="12"/>
    <n v="3"/>
    <n v="3"/>
    <n v="80"/>
    <n v="1"/>
    <n v="1"/>
    <n v="3"/>
    <n v="3"/>
    <n v="1"/>
    <n v="0"/>
    <n v="0"/>
    <n v="0"/>
  </r>
  <r>
    <n v="27"/>
    <x v="2"/>
    <x v="1"/>
    <s v="Travel_Rarely"/>
    <n v="1240"/>
    <x v="1"/>
    <n v="2"/>
    <n v="4"/>
    <x v="0"/>
    <n v="1"/>
    <n v="54"/>
    <n v="4"/>
    <x v="0"/>
    <n v="33"/>
    <n v="3"/>
    <n v="1"/>
    <x v="2"/>
    <n v="1"/>
    <x v="2"/>
    <n v="2341"/>
    <n v="19715"/>
    <n v="1"/>
    <s v="Y"/>
    <s v="No"/>
    <n v="13"/>
    <n v="3"/>
    <n v="4"/>
    <n v="80"/>
    <n v="1"/>
    <n v="1"/>
    <n v="6"/>
    <n v="3"/>
    <n v="1"/>
    <n v="0"/>
    <n v="0"/>
    <n v="0"/>
  </r>
  <r>
    <n v="26"/>
    <x v="2"/>
    <x v="0"/>
    <s v="Travel_Rarely"/>
    <n v="1357"/>
    <x v="1"/>
    <n v="25"/>
    <n v="3"/>
    <x v="0"/>
    <n v="1"/>
    <n v="55"/>
    <n v="1"/>
    <x v="1"/>
    <n v="48"/>
    <n v="1"/>
    <n v="1"/>
    <x v="2"/>
    <n v="3"/>
    <x v="0"/>
    <n v="2293"/>
    <n v="10558"/>
    <n v="1"/>
    <s v="Y"/>
    <s v="No"/>
    <n v="12"/>
    <n v="3"/>
    <n v="3"/>
    <n v="80"/>
    <n v="0"/>
    <n v="1"/>
    <n v="2"/>
    <n v="2"/>
    <n v="1"/>
    <n v="0"/>
    <n v="0"/>
    <n v="1"/>
  </r>
  <r>
    <n v="27"/>
    <x v="2"/>
    <x v="1"/>
    <s v="Travel_Frequently"/>
    <n v="994"/>
    <x v="0"/>
    <n v="8"/>
    <n v="3"/>
    <x v="0"/>
    <n v="1"/>
    <n v="56"/>
    <n v="4"/>
    <x v="1"/>
    <n v="37"/>
    <n v="3"/>
    <n v="3"/>
    <x v="0"/>
    <n v="3"/>
    <x v="0"/>
    <n v="8726"/>
    <n v="2975"/>
    <n v="1"/>
    <s v="Y"/>
    <s v="No"/>
    <n v="15"/>
    <n v="3"/>
    <n v="4"/>
    <n v="80"/>
    <n v="0"/>
    <n v="9"/>
    <n v="0"/>
    <n v="3"/>
    <n v="9"/>
    <n v="8"/>
    <n v="1"/>
    <n v="7"/>
  </r>
  <r>
    <n v="30"/>
    <x v="2"/>
    <x v="1"/>
    <s v="Travel_Frequently"/>
    <n v="721"/>
    <x v="1"/>
    <n v="1"/>
    <n v="2"/>
    <x v="2"/>
    <n v="1"/>
    <n v="57"/>
    <n v="3"/>
    <x v="0"/>
    <n v="58"/>
    <n v="3"/>
    <n v="2"/>
    <x v="2"/>
    <n v="4"/>
    <x v="0"/>
    <n v="4011"/>
    <n v="10781"/>
    <n v="1"/>
    <s v="Y"/>
    <s v="No"/>
    <n v="23"/>
    <n v="4"/>
    <n v="4"/>
    <n v="80"/>
    <n v="0"/>
    <n v="12"/>
    <n v="2"/>
    <n v="3"/>
    <n v="12"/>
    <n v="8"/>
    <n v="3"/>
    <n v="7"/>
  </r>
  <r>
    <n v="41"/>
    <x v="0"/>
    <x v="0"/>
    <s v="Travel_Rarely"/>
    <n v="1360"/>
    <x v="1"/>
    <n v="12"/>
    <n v="3"/>
    <x v="4"/>
    <n v="1"/>
    <n v="58"/>
    <n v="2"/>
    <x v="0"/>
    <n v="49"/>
    <n v="3"/>
    <n v="5"/>
    <x v="7"/>
    <n v="3"/>
    <x v="1"/>
    <n v="19545"/>
    <n v="16280"/>
    <n v="1"/>
    <s v="Y"/>
    <s v="No"/>
    <n v="12"/>
    <n v="3"/>
    <n v="4"/>
    <n v="80"/>
    <n v="0"/>
    <n v="23"/>
    <n v="0"/>
    <n v="3"/>
    <n v="22"/>
    <n v="15"/>
    <n v="15"/>
    <n v="8"/>
  </r>
  <r>
    <n v="34"/>
    <x v="2"/>
    <x v="1"/>
    <s v="Non-Travel"/>
    <n v="1065"/>
    <x v="0"/>
    <n v="23"/>
    <n v="4"/>
    <x v="3"/>
    <n v="1"/>
    <n v="60"/>
    <n v="2"/>
    <x v="1"/>
    <n v="72"/>
    <n v="3"/>
    <n v="2"/>
    <x v="0"/>
    <n v="3"/>
    <x v="0"/>
    <n v="4568"/>
    <n v="10034"/>
    <n v="0"/>
    <s v="Y"/>
    <s v="No"/>
    <n v="20"/>
    <n v="4"/>
    <n v="3"/>
    <n v="80"/>
    <n v="0"/>
    <n v="10"/>
    <n v="2"/>
    <n v="3"/>
    <n v="9"/>
    <n v="5"/>
    <n v="8"/>
    <n v="7"/>
  </r>
  <r>
    <n v="37"/>
    <x v="0"/>
    <x v="1"/>
    <s v="Travel_Rarely"/>
    <n v="408"/>
    <x v="1"/>
    <n v="19"/>
    <n v="2"/>
    <x v="0"/>
    <n v="1"/>
    <n v="61"/>
    <n v="2"/>
    <x v="1"/>
    <n v="73"/>
    <n v="3"/>
    <n v="1"/>
    <x v="1"/>
    <n v="2"/>
    <x v="1"/>
    <n v="3022"/>
    <n v="10227"/>
    <n v="4"/>
    <s v="Y"/>
    <s v="No"/>
    <n v="21"/>
    <n v="4"/>
    <n v="1"/>
    <n v="80"/>
    <n v="0"/>
    <n v="8"/>
    <n v="1"/>
    <n v="3"/>
    <n v="1"/>
    <n v="0"/>
    <n v="0"/>
    <n v="0"/>
  </r>
  <r>
    <n v="46"/>
    <x v="1"/>
    <x v="1"/>
    <s v="Travel_Frequently"/>
    <n v="1211"/>
    <x v="0"/>
    <n v="5"/>
    <n v="4"/>
    <x v="3"/>
    <n v="1"/>
    <n v="62"/>
    <n v="1"/>
    <x v="1"/>
    <n v="98"/>
    <n v="3"/>
    <n v="2"/>
    <x v="0"/>
    <n v="4"/>
    <x v="0"/>
    <n v="5772"/>
    <n v="20445"/>
    <n v="4"/>
    <s v="Y"/>
    <s v="Yes"/>
    <n v="21"/>
    <n v="4"/>
    <n v="3"/>
    <n v="80"/>
    <n v="0"/>
    <n v="14"/>
    <n v="4"/>
    <n v="3"/>
    <n v="9"/>
    <n v="6"/>
    <n v="0"/>
    <n v="8"/>
  </r>
  <r>
    <n v="35"/>
    <x v="2"/>
    <x v="1"/>
    <s v="Travel_Rarely"/>
    <n v="1229"/>
    <x v="1"/>
    <n v="8"/>
    <n v="1"/>
    <x v="0"/>
    <n v="1"/>
    <n v="63"/>
    <n v="4"/>
    <x v="1"/>
    <n v="36"/>
    <n v="4"/>
    <n v="1"/>
    <x v="2"/>
    <n v="4"/>
    <x v="1"/>
    <n v="2269"/>
    <n v="4892"/>
    <n v="1"/>
    <s v="Y"/>
    <s v="No"/>
    <n v="19"/>
    <n v="3"/>
    <n v="4"/>
    <n v="80"/>
    <n v="0"/>
    <n v="1"/>
    <n v="2"/>
    <n v="3"/>
    <n v="1"/>
    <n v="0"/>
    <n v="0"/>
    <n v="1"/>
  </r>
  <r>
    <n v="48"/>
    <x v="1"/>
    <x v="0"/>
    <s v="Travel_Rarely"/>
    <n v="626"/>
    <x v="1"/>
    <n v="1"/>
    <n v="2"/>
    <x v="0"/>
    <n v="1"/>
    <n v="64"/>
    <n v="1"/>
    <x v="1"/>
    <n v="98"/>
    <n v="2"/>
    <n v="3"/>
    <x v="2"/>
    <n v="3"/>
    <x v="0"/>
    <n v="5381"/>
    <n v="19294"/>
    <n v="9"/>
    <s v="Y"/>
    <s v="Yes"/>
    <n v="13"/>
    <n v="3"/>
    <n v="4"/>
    <n v="80"/>
    <n v="0"/>
    <n v="23"/>
    <n v="2"/>
    <n v="3"/>
    <n v="1"/>
    <n v="0"/>
    <n v="0"/>
    <n v="0"/>
  </r>
  <r>
    <n v="28"/>
    <x v="2"/>
    <x v="0"/>
    <s v="Travel_Rarely"/>
    <n v="1434"/>
    <x v="1"/>
    <n v="5"/>
    <n v="4"/>
    <x v="4"/>
    <n v="1"/>
    <n v="65"/>
    <n v="3"/>
    <x v="1"/>
    <n v="50"/>
    <n v="3"/>
    <n v="1"/>
    <x v="2"/>
    <n v="3"/>
    <x v="0"/>
    <n v="3441"/>
    <n v="11179"/>
    <n v="1"/>
    <s v="Y"/>
    <s v="Yes"/>
    <n v="13"/>
    <n v="3"/>
    <n v="3"/>
    <n v="80"/>
    <n v="0"/>
    <n v="2"/>
    <n v="3"/>
    <n v="2"/>
    <n v="2"/>
    <n v="2"/>
    <n v="2"/>
    <n v="2"/>
  </r>
  <r>
    <n v="44"/>
    <x v="0"/>
    <x v="1"/>
    <s v="Travel_Rarely"/>
    <n v="1488"/>
    <x v="0"/>
    <n v="1"/>
    <n v="5"/>
    <x v="3"/>
    <n v="1"/>
    <n v="68"/>
    <n v="2"/>
    <x v="0"/>
    <n v="75"/>
    <n v="3"/>
    <n v="2"/>
    <x v="0"/>
    <n v="1"/>
    <x v="2"/>
    <n v="5454"/>
    <n v="4009"/>
    <n v="5"/>
    <s v="Y"/>
    <s v="Yes"/>
    <n v="21"/>
    <n v="4"/>
    <n v="3"/>
    <n v="80"/>
    <n v="1"/>
    <n v="9"/>
    <n v="2"/>
    <n v="2"/>
    <n v="4"/>
    <n v="3"/>
    <n v="1"/>
    <n v="3"/>
  </r>
  <r>
    <n v="35"/>
    <x v="2"/>
    <x v="1"/>
    <s v="Non-Travel"/>
    <n v="1097"/>
    <x v="1"/>
    <n v="11"/>
    <n v="2"/>
    <x v="2"/>
    <n v="1"/>
    <n v="70"/>
    <n v="3"/>
    <x v="1"/>
    <n v="79"/>
    <n v="2"/>
    <n v="3"/>
    <x v="4"/>
    <n v="1"/>
    <x v="1"/>
    <n v="9884"/>
    <n v="8302"/>
    <n v="2"/>
    <s v="Y"/>
    <s v="Yes"/>
    <n v="13"/>
    <n v="3"/>
    <n v="3"/>
    <n v="80"/>
    <n v="1"/>
    <n v="10"/>
    <n v="3"/>
    <n v="3"/>
    <n v="4"/>
    <n v="0"/>
    <n v="2"/>
    <n v="3"/>
  </r>
  <r>
    <n v="26"/>
    <x v="2"/>
    <x v="1"/>
    <s v="Travel_Rarely"/>
    <n v="1443"/>
    <x v="0"/>
    <n v="23"/>
    <n v="3"/>
    <x v="3"/>
    <n v="1"/>
    <n v="72"/>
    <n v="3"/>
    <x v="0"/>
    <n v="47"/>
    <n v="2"/>
    <n v="2"/>
    <x v="0"/>
    <n v="4"/>
    <x v="1"/>
    <n v="4157"/>
    <n v="21436"/>
    <n v="7"/>
    <s v="Y"/>
    <s v="Yes"/>
    <n v="19"/>
    <n v="3"/>
    <n v="3"/>
    <n v="80"/>
    <n v="1"/>
    <n v="5"/>
    <n v="2"/>
    <n v="2"/>
    <n v="2"/>
    <n v="2"/>
    <n v="0"/>
    <n v="0"/>
  </r>
  <r>
    <n v="33"/>
    <x v="2"/>
    <x v="1"/>
    <s v="Travel_Frequently"/>
    <n v="515"/>
    <x v="1"/>
    <n v="1"/>
    <n v="2"/>
    <x v="0"/>
    <n v="1"/>
    <n v="73"/>
    <n v="1"/>
    <x v="0"/>
    <n v="98"/>
    <n v="3"/>
    <n v="3"/>
    <x v="7"/>
    <n v="4"/>
    <x v="0"/>
    <n v="13458"/>
    <n v="15146"/>
    <n v="1"/>
    <s v="Y"/>
    <s v="Yes"/>
    <n v="12"/>
    <n v="3"/>
    <n v="3"/>
    <n v="80"/>
    <n v="0"/>
    <n v="15"/>
    <n v="1"/>
    <n v="3"/>
    <n v="15"/>
    <n v="14"/>
    <n v="8"/>
    <n v="12"/>
  </r>
  <r>
    <n v="35"/>
    <x v="2"/>
    <x v="1"/>
    <s v="Travel_Frequently"/>
    <n v="853"/>
    <x v="0"/>
    <n v="18"/>
    <n v="5"/>
    <x v="0"/>
    <n v="1"/>
    <n v="74"/>
    <n v="2"/>
    <x v="1"/>
    <n v="71"/>
    <n v="3"/>
    <n v="3"/>
    <x v="0"/>
    <n v="1"/>
    <x v="1"/>
    <n v="9069"/>
    <n v="11031"/>
    <n v="1"/>
    <s v="Y"/>
    <s v="No"/>
    <n v="22"/>
    <n v="4"/>
    <n v="4"/>
    <n v="80"/>
    <n v="1"/>
    <n v="9"/>
    <n v="3"/>
    <n v="2"/>
    <n v="9"/>
    <n v="8"/>
    <n v="1"/>
    <n v="8"/>
  </r>
  <r>
    <n v="35"/>
    <x v="2"/>
    <x v="1"/>
    <s v="Travel_Rarely"/>
    <n v="1142"/>
    <x v="1"/>
    <n v="23"/>
    <n v="4"/>
    <x v="2"/>
    <n v="1"/>
    <n v="75"/>
    <n v="3"/>
    <x v="0"/>
    <n v="30"/>
    <n v="3"/>
    <n v="1"/>
    <x v="2"/>
    <n v="1"/>
    <x v="1"/>
    <n v="4014"/>
    <n v="16002"/>
    <n v="3"/>
    <s v="Y"/>
    <s v="Yes"/>
    <n v="15"/>
    <n v="3"/>
    <n v="3"/>
    <n v="80"/>
    <n v="1"/>
    <n v="4"/>
    <n v="3"/>
    <n v="3"/>
    <n v="2"/>
    <n v="2"/>
    <n v="2"/>
    <n v="2"/>
  </r>
  <r>
    <n v="31"/>
    <x v="2"/>
    <x v="1"/>
    <s v="Travel_Rarely"/>
    <n v="655"/>
    <x v="1"/>
    <n v="7"/>
    <n v="4"/>
    <x v="0"/>
    <n v="1"/>
    <n v="76"/>
    <n v="4"/>
    <x v="1"/>
    <n v="48"/>
    <n v="3"/>
    <n v="2"/>
    <x v="2"/>
    <n v="4"/>
    <x v="2"/>
    <n v="5915"/>
    <n v="9528"/>
    <n v="3"/>
    <s v="Y"/>
    <s v="No"/>
    <n v="22"/>
    <n v="4"/>
    <n v="4"/>
    <n v="80"/>
    <n v="1"/>
    <n v="10"/>
    <n v="3"/>
    <n v="2"/>
    <n v="7"/>
    <n v="7"/>
    <n v="1"/>
    <n v="7"/>
  </r>
  <r>
    <n v="37"/>
    <x v="0"/>
    <x v="1"/>
    <s v="Travel_Rarely"/>
    <n v="1115"/>
    <x v="1"/>
    <n v="1"/>
    <n v="4"/>
    <x v="0"/>
    <n v="1"/>
    <n v="77"/>
    <n v="1"/>
    <x v="1"/>
    <n v="51"/>
    <n v="2"/>
    <n v="2"/>
    <x v="3"/>
    <n v="3"/>
    <x v="2"/>
    <n v="5993"/>
    <n v="2689"/>
    <n v="1"/>
    <s v="Y"/>
    <s v="No"/>
    <n v="18"/>
    <n v="3"/>
    <n v="3"/>
    <n v="80"/>
    <n v="1"/>
    <n v="7"/>
    <n v="2"/>
    <n v="4"/>
    <n v="7"/>
    <n v="5"/>
    <n v="0"/>
    <n v="7"/>
  </r>
  <r>
    <n v="32"/>
    <x v="2"/>
    <x v="1"/>
    <s v="Travel_Rarely"/>
    <n v="427"/>
    <x v="1"/>
    <n v="1"/>
    <n v="3"/>
    <x v="2"/>
    <n v="1"/>
    <n v="78"/>
    <n v="1"/>
    <x v="1"/>
    <n v="33"/>
    <n v="3"/>
    <n v="2"/>
    <x v="3"/>
    <n v="4"/>
    <x v="1"/>
    <n v="6162"/>
    <n v="10877"/>
    <n v="1"/>
    <s v="Y"/>
    <s v="Yes"/>
    <n v="22"/>
    <n v="4"/>
    <n v="2"/>
    <n v="80"/>
    <n v="1"/>
    <n v="9"/>
    <n v="3"/>
    <n v="3"/>
    <n v="9"/>
    <n v="8"/>
    <n v="7"/>
    <n v="8"/>
  </r>
  <r>
    <n v="38"/>
    <x v="0"/>
    <x v="1"/>
    <s v="Travel_Frequently"/>
    <n v="653"/>
    <x v="1"/>
    <n v="29"/>
    <n v="5"/>
    <x v="0"/>
    <n v="1"/>
    <n v="79"/>
    <n v="4"/>
    <x v="0"/>
    <n v="50"/>
    <n v="3"/>
    <n v="2"/>
    <x v="2"/>
    <n v="4"/>
    <x v="0"/>
    <n v="2406"/>
    <n v="5456"/>
    <n v="1"/>
    <s v="Y"/>
    <s v="No"/>
    <n v="11"/>
    <n v="3"/>
    <n v="4"/>
    <n v="80"/>
    <n v="0"/>
    <n v="10"/>
    <n v="2"/>
    <n v="3"/>
    <n v="10"/>
    <n v="3"/>
    <n v="9"/>
    <n v="9"/>
  </r>
  <r>
    <n v="50"/>
    <x v="1"/>
    <x v="1"/>
    <s v="Travel_Rarely"/>
    <n v="989"/>
    <x v="1"/>
    <n v="7"/>
    <n v="2"/>
    <x v="2"/>
    <n v="1"/>
    <n v="80"/>
    <n v="2"/>
    <x v="0"/>
    <n v="43"/>
    <n v="2"/>
    <n v="5"/>
    <x v="7"/>
    <n v="3"/>
    <x v="2"/>
    <n v="18740"/>
    <n v="16701"/>
    <n v="5"/>
    <s v="Y"/>
    <s v="Yes"/>
    <n v="12"/>
    <n v="3"/>
    <n v="4"/>
    <n v="80"/>
    <n v="1"/>
    <n v="29"/>
    <n v="2"/>
    <n v="2"/>
    <n v="27"/>
    <n v="3"/>
    <n v="13"/>
    <n v="8"/>
  </r>
  <r>
    <n v="59"/>
    <x v="1"/>
    <x v="1"/>
    <s v="Travel_Rarely"/>
    <n v="1435"/>
    <x v="0"/>
    <n v="25"/>
    <n v="3"/>
    <x v="0"/>
    <n v="1"/>
    <n v="81"/>
    <n v="1"/>
    <x v="0"/>
    <n v="99"/>
    <n v="3"/>
    <n v="3"/>
    <x v="0"/>
    <n v="1"/>
    <x v="0"/>
    <n v="7637"/>
    <n v="2354"/>
    <n v="7"/>
    <s v="Y"/>
    <s v="No"/>
    <n v="11"/>
    <n v="3"/>
    <n v="4"/>
    <n v="80"/>
    <n v="0"/>
    <n v="28"/>
    <n v="3"/>
    <n v="2"/>
    <n v="21"/>
    <n v="16"/>
    <n v="7"/>
    <n v="9"/>
  </r>
  <r>
    <n v="36"/>
    <x v="0"/>
    <x v="1"/>
    <s v="Travel_Rarely"/>
    <n v="1223"/>
    <x v="1"/>
    <n v="8"/>
    <n v="3"/>
    <x v="4"/>
    <n v="1"/>
    <n v="83"/>
    <n v="3"/>
    <x v="0"/>
    <n v="59"/>
    <n v="3"/>
    <n v="3"/>
    <x v="4"/>
    <n v="3"/>
    <x v="2"/>
    <n v="10096"/>
    <n v="8202"/>
    <n v="1"/>
    <s v="Y"/>
    <s v="No"/>
    <n v="13"/>
    <n v="3"/>
    <n v="2"/>
    <n v="80"/>
    <n v="3"/>
    <n v="17"/>
    <n v="2"/>
    <n v="3"/>
    <n v="17"/>
    <n v="14"/>
    <n v="12"/>
    <n v="8"/>
  </r>
  <r>
    <n v="55"/>
    <x v="1"/>
    <x v="1"/>
    <s v="Travel_Rarely"/>
    <n v="836"/>
    <x v="1"/>
    <n v="8"/>
    <n v="3"/>
    <x v="2"/>
    <n v="1"/>
    <n v="84"/>
    <n v="4"/>
    <x v="0"/>
    <n v="33"/>
    <n v="3"/>
    <n v="4"/>
    <x v="5"/>
    <n v="3"/>
    <x v="2"/>
    <n v="14756"/>
    <n v="19730"/>
    <n v="2"/>
    <s v="Y"/>
    <s v="Yes"/>
    <n v="14"/>
    <n v="3"/>
    <n v="3"/>
    <n v="80"/>
    <n v="3"/>
    <n v="21"/>
    <n v="2"/>
    <n v="3"/>
    <n v="5"/>
    <n v="0"/>
    <n v="0"/>
    <n v="2"/>
  </r>
  <r>
    <n v="36"/>
    <x v="0"/>
    <x v="1"/>
    <s v="Travel_Frequently"/>
    <n v="1195"/>
    <x v="1"/>
    <n v="11"/>
    <n v="3"/>
    <x v="0"/>
    <n v="1"/>
    <n v="85"/>
    <n v="2"/>
    <x v="1"/>
    <n v="95"/>
    <n v="2"/>
    <n v="2"/>
    <x v="3"/>
    <n v="2"/>
    <x v="0"/>
    <n v="6499"/>
    <n v="22656"/>
    <n v="1"/>
    <s v="Y"/>
    <s v="No"/>
    <n v="13"/>
    <n v="3"/>
    <n v="3"/>
    <n v="80"/>
    <n v="0"/>
    <n v="6"/>
    <n v="3"/>
    <n v="3"/>
    <n v="6"/>
    <n v="5"/>
    <n v="0"/>
    <n v="3"/>
  </r>
  <r>
    <n v="45"/>
    <x v="0"/>
    <x v="1"/>
    <s v="Travel_Rarely"/>
    <n v="1339"/>
    <x v="1"/>
    <n v="7"/>
    <n v="3"/>
    <x v="0"/>
    <n v="1"/>
    <n v="86"/>
    <n v="2"/>
    <x v="1"/>
    <n v="59"/>
    <n v="3"/>
    <n v="3"/>
    <x v="1"/>
    <n v="1"/>
    <x v="2"/>
    <n v="9724"/>
    <n v="18787"/>
    <n v="2"/>
    <s v="Y"/>
    <s v="No"/>
    <n v="17"/>
    <n v="3"/>
    <n v="3"/>
    <n v="80"/>
    <n v="1"/>
    <n v="25"/>
    <n v="2"/>
    <n v="3"/>
    <n v="1"/>
    <n v="0"/>
    <n v="0"/>
    <n v="0"/>
  </r>
  <r>
    <n v="35"/>
    <x v="2"/>
    <x v="1"/>
    <s v="Travel_Frequently"/>
    <n v="664"/>
    <x v="1"/>
    <n v="1"/>
    <n v="3"/>
    <x v="2"/>
    <n v="1"/>
    <n v="88"/>
    <n v="2"/>
    <x v="1"/>
    <n v="79"/>
    <n v="3"/>
    <n v="1"/>
    <x v="1"/>
    <n v="1"/>
    <x v="1"/>
    <n v="2194"/>
    <n v="5868"/>
    <n v="4"/>
    <s v="Y"/>
    <s v="No"/>
    <n v="13"/>
    <n v="3"/>
    <n v="4"/>
    <n v="80"/>
    <n v="1"/>
    <n v="5"/>
    <n v="2"/>
    <n v="2"/>
    <n v="3"/>
    <n v="2"/>
    <n v="1"/>
    <n v="2"/>
  </r>
  <r>
    <n v="36"/>
    <x v="0"/>
    <x v="0"/>
    <s v="Travel_Rarely"/>
    <n v="318"/>
    <x v="1"/>
    <n v="9"/>
    <n v="3"/>
    <x v="2"/>
    <n v="1"/>
    <n v="90"/>
    <n v="4"/>
    <x v="1"/>
    <n v="79"/>
    <n v="2"/>
    <n v="1"/>
    <x v="1"/>
    <n v="3"/>
    <x v="1"/>
    <n v="3388"/>
    <n v="21777"/>
    <n v="0"/>
    <s v="Y"/>
    <s v="Yes"/>
    <n v="17"/>
    <n v="3"/>
    <n v="1"/>
    <n v="80"/>
    <n v="1"/>
    <n v="2"/>
    <n v="0"/>
    <n v="2"/>
    <n v="1"/>
    <n v="0"/>
    <n v="0"/>
    <n v="0"/>
  </r>
  <r>
    <n v="59"/>
    <x v="1"/>
    <x v="1"/>
    <s v="Travel_Frequently"/>
    <n v="1225"/>
    <x v="0"/>
    <n v="1"/>
    <n v="1"/>
    <x v="0"/>
    <n v="1"/>
    <n v="91"/>
    <n v="1"/>
    <x v="0"/>
    <n v="57"/>
    <n v="2"/>
    <n v="2"/>
    <x v="0"/>
    <n v="3"/>
    <x v="0"/>
    <n v="5473"/>
    <n v="24668"/>
    <n v="7"/>
    <s v="Y"/>
    <s v="No"/>
    <n v="11"/>
    <n v="3"/>
    <n v="4"/>
    <n v="80"/>
    <n v="0"/>
    <n v="20"/>
    <n v="2"/>
    <n v="2"/>
    <n v="4"/>
    <n v="3"/>
    <n v="1"/>
    <n v="3"/>
  </r>
  <r>
    <n v="29"/>
    <x v="2"/>
    <x v="1"/>
    <s v="Travel_Rarely"/>
    <n v="1328"/>
    <x v="1"/>
    <n v="2"/>
    <n v="3"/>
    <x v="0"/>
    <n v="1"/>
    <n v="94"/>
    <n v="3"/>
    <x v="1"/>
    <n v="76"/>
    <n v="3"/>
    <n v="1"/>
    <x v="1"/>
    <n v="2"/>
    <x v="1"/>
    <n v="2703"/>
    <n v="4956"/>
    <n v="0"/>
    <s v="Y"/>
    <s v="No"/>
    <n v="23"/>
    <n v="4"/>
    <n v="4"/>
    <n v="80"/>
    <n v="1"/>
    <n v="6"/>
    <n v="3"/>
    <n v="3"/>
    <n v="5"/>
    <n v="4"/>
    <n v="0"/>
    <n v="4"/>
  </r>
  <r>
    <n v="31"/>
    <x v="2"/>
    <x v="1"/>
    <s v="Travel_Rarely"/>
    <n v="1082"/>
    <x v="1"/>
    <n v="1"/>
    <n v="4"/>
    <x v="2"/>
    <n v="1"/>
    <n v="95"/>
    <n v="3"/>
    <x v="1"/>
    <n v="87"/>
    <n v="3"/>
    <n v="1"/>
    <x v="1"/>
    <n v="2"/>
    <x v="0"/>
    <n v="2501"/>
    <n v="18775"/>
    <n v="1"/>
    <s v="Y"/>
    <s v="No"/>
    <n v="17"/>
    <n v="3"/>
    <n v="2"/>
    <n v="80"/>
    <n v="0"/>
    <n v="1"/>
    <n v="4"/>
    <n v="3"/>
    <n v="1"/>
    <n v="1"/>
    <n v="1"/>
    <n v="0"/>
  </r>
  <r>
    <n v="32"/>
    <x v="2"/>
    <x v="1"/>
    <s v="Travel_Rarely"/>
    <n v="548"/>
    <x v="1"/>
    <n v="1"/>
    <n v="3"/>
    <x v="0"/>
    <n v="1"/>
    <n v="96"/>
    <n v="2"/>
    <x v="1"/>
    <n v="66"/>
    <n v="3"/>
    <n v="2"/>
    <x v="1"/>
    <n v="2"/>
    <x v="1"/>
    <n v="6220"/>
    <n v="7346"/>
    <n v="1"/>
    <s v="Y"/>
    <s v="No"/>
    <n v="17"/>
    <n v="3"/>
    <n v="2"/>
    <n v="80"/>
    <n v="2"/>
    <n v="10"/>
    <n v="3"/>
    <n v="3"/>
    <n v="10"/>
    <n v="4"/>
    <n v="0"/>
    <n v="9"/>
  </r>
  <r>
    <n v="36"/>
    <x v="0"/>
    <x v="1"/>
    <s v="Travel_Rarely"/>
    <n v="132"/>
    <x v="1"/>
    <n v="6"/>
    <n v="3"/>
    <x v="0"/>
    <n v="1"/>
    <n v="97"/>
    <n v="2"/>
    <x v="0"/>
    <n v="55"/>
    <n v="4"/>
    <n v="1"/>
    <x v="2"/>
    <n v="4"/>
    <x v="1"/>
    <n v="3038"/>
    <n v="22002"/>
    <n v="3"/>
    <s v="Y"/>
    <s v="No"/>
    <n v="12"/>
    <n v="3"/>
    <n v="2"/>
    <n v="80"/>
    <n v="0"/>
    <n v="5"/>
    <n v="3"/>
    <n v="3"/>
    <n v="1"/>
    <n v="0"/>
    <n v="0"/>
    <n v="0"/>
  </r>
  <r>
    <n v="31"/>
    <x v="2"/>
    <x v="1"/>
    <s v="Travel_Rarely"/>
    <n v="746"/>
    <x v="1"/>
    <n v="8"/>
    <n v="4"/>
    <x v="0"/>
    <n v="1"/>
    <n v="98"/>
    <n v="3"/>
    <x v="0"/>
    <n v="61"/>
    <n v="3"/>
    <n v="2"/>
    <x v="3"/>
    <n v="4"/>
    <x v="0"/>
    <n v="4424"/>
    <n v="20682"/>
    <n v="1"/>
    <s v="Y"/>
    <s v="No"/>
    <n v="23"/>
    <n v="4"/>
    <n v="4"/>
    <n v="80"/>
    <n v="0"/>
    <n v="11"/>
    <n v="2"/>
    <n v="3"/>
    <n v="11"/>
    <n v="7"/>
    <n v="1"/>
    <n v="8"/>
  </r>
  <r>
    <n v="35"/>
    <x v="2"/>
    <x v="1"/>
    <s v="Travel_Rarely"/>
    <n v="776"/>
    <x v="0"/>
    <n v="1"/>
    <n v="4"/>
    <x v="3"/>
    <n v="1"/>
    <n v="100"/>
    <n v="3"/>
    <x v="1"/>
    <n v="32"/>
    <n v="2"/>
    <n v="2"/>
    <x v="0"/>
    <n v="1"/>
    <x v="0"/>
    <n v="4312"/>
    <n v="23016"/>
    <n v="0"/>
    <s v="Y"/>
    <s v="No"/>
    <n v="14"/>
    <n v="3"/>
    <n v="2"/>
    <n v="80"/>
    <n v="0"/>
    <n v="16"/>
    <n v="2"/>
    <n v="3"/>
    <n v="15"/>
    <n v="13"/>
    <n v="2"/>
    <n v="8"/>
  </r>
  <r>
    <n v="45"/>
    <x v="0"/>
    <x v="1"/>
    <s v="Travel_Rarely"/>
    <n v="193"/>
    <x v="1"/>
    <n v="6"/>
    <n v="4"/>
    <x v="1"/>
    <n v="1"/>
    <n v="101"/>
    <n v="4"/>
    <x v="1"/>
    <n v="52"/>
    <n v="3"/>
    <n v="3"/>
    <x v="7"/>
    <n v="1"/>
    <x v="1"/>
    <n v="13245"/>
    <n v="15067"/>
    <n v="4"/>
    <s v="Y"/>
    <s v="Yes"/>
    <n v="14"/>
    <n v="3"/>
    <n v="2"/>
    <n v="80"/>
    <n v="0"/>
    <n v="17"/>
    <n v="3"/>
    <n v="4"/>
    <n v="0"/>
    <n v="0"/>
    <n v="0"/>
    <n v="0"/>
  </r>
  <r>
    <n v="37"/>
    <x v="0"/>
    <x v="1"/>
    <s v="Travel_Rarely"/>
    <n v="397"/>
    <x v="1"/>
    <n v="7"/>
    <n v="4"/>
    <x v="2"/>
    <n v="1"/>
    <n v="102"/>
    <n v="1"/>
    <x v="1"/>
    <n v="30"/>
    <n v="3"/>
    <n v="3"/>
    <x v="7"/>
    <n v="3"/>
    <x v="0"/>
    <n v="13664"/>
    <n v="25258"/>
    <n v="4"/>
    <s v="Y"/>
    <s v="No"/>
    <n v="13"/>
    <n v="3"/>
    <n v="1"/>
    <n v="80"/>
    <n v="0"/>
    <n v="16"/>
    <n v="3"/>
    <n v="4"/>
    <n v="5"/>
    <n v="2"/>
    <n v="0"/>
    <n v="2"/>
  </r>
  <r>
    <n v="46"/>
    <x v="1"/>
    <x v="1"/>
    <s v="Travel_Rarely"/>
    <n v="945"/>
    <x v="2"/>
    <n v="5"/>
    <n v="2"/>
    <x v="2"/>
    <n v="1"/>
    <n v="103"/>
    <n v="2"/>
    <x v="1"/>
    <n v="80"/>
    <n v="3"/>
    <n v="2"/>
    <x v="8"/>
    <n v="2"/>
    <x v="2"/>
    <n v="5021"/>
    <n v="10425"/>
    <n v="8"/>
    <s v="Y"/>
    <s v="Yes"/>
    <n v="22"/>
    <n v="4"/>
    <n v="4"/>
    <n v="80"/>
    <n v="1"/>
    <n v="16"/>
    <n v="2"/>
    <n v="3"/>
    <n v="4"/>
    <n v="2"/>
    <n v="0"/>
    <n v="2"/>
  </r>
  <r>
    <n v="30"/>
    <x v="2"/>
    <x v="1"/>
    <s v="Travel_Rarely"/>
    <n v="852"/>
    <x v="1"/>
    <n v="1"/>
    <n v="1"/>
    <x v="0"/>
    <n v="1"/>
    <n v="104"/>
    <n v="4"/>
    <x v="1"/>
    <n v="55"/>
    <n v="2"/>
    <n v="2"/>
    <x v="2"/>
    <n v="4"/>
    <x v="1"/>
    <n v="5126"/>
    <n v="15998"/>
    <n v="1"/>
    <s v="Y"/>
    <s v="Yes"/>
    <n v="12"/>
    <n v="3"/>
    <n v="3"/>
    <n v="80"/>
    <n v="2"/>
    <n v="10"/>
    <n v="1"/>
    <n v="2"/>
    <n v="10"/>
    <n v="8"/>
    <n v="3"/>
    <n v="0"/>
  </r>
  <r>
    <n v="35"/>
    <x v="2"/>
    <x v="1"/>
    <s v="Travel_Rarely"/>
    <n v="1214"/>
    <x v="1"/>
    <n v="1"/>
    <n v="3"/>
    <x v="2"/>
    <n v="1"/>
    <n v="105"/>
    <n v="2"/>
    <x v="1"/>
    <n v="30"/>
    <n v="2"/>
    <n v="1"/>
    <x v="1"/>
    <n v="3"/>
    <x v="0"/>
    <n v="2859"/>
    <n v="26278"/>
    <n v="1"/>
    <s v="Y"/>
    <s v="No"/>
    <n v="18"/>
    <n v="3"/>
    <n v="1"/>
    <n v="80"/>
    <n v="0"/>
    <n v="6"/>
    <n v="3"/>
    <n v="3"/>
    <n v="6"/>
    <n v="4"/>
    <n v="0"/>
    <n v="4"/>
  </r>
  <r>
    <n v="55"/>
    <x v="1"/>
    <x v="1"/>
    <s v="Travel_Rarely"/>
    <n v="111"/>
    <x v="0"/>
    <n v="1"/>
    <n v="2"/>
    <x v="0"/>
    <n v="1"/>
    <n v="106"/>
    <n v="1"/>
    <x v="1"/>
    <n v="70"/>
    <n v="3"/>
    <n v="3"/>
    <x v="0"/>
    <n v="4"/>
    <x v="1"/>
    <n v="10239"/>
    <n v="18092"/>
    <n v="3"/>
    <s v="Y"/>
    <s v="No"/>
    <n v="14"/>
    <n v="3"/>
    <n v="4"/>
    <n v="80"/>
    <n v="1"/>
    <n v="24"/>
    <n v="4"/>
    <n v="3"/>
    <n v="1"/>
    <n v="0"/>
    <n v="1"/>
    <n v="0"/>
  </r>
  <r>
    <n v="38"/>
    <x v="0"/>
    <x v="1"/>
    <s v="Non-Travel"/>
    <n v="573"/>
    <x v="1"/>
    <n v="6"/>
    <n v="3"/>
    <x v="2"/>
    <n v="1"/>
    <n v="107"/>
    <n v="2"/>
    <x v="0"/>
    <n v="79"/>
    <n v="1"/>
    <n v="2"/>
    <x v="1"/>
    <n v="4"/>
    <x v="2"/>
    <n v="5329"/>
    <n v="15717"/>
    <n v="7"/>
    <s v="Y"/>
    <s v="Yes"/>
    <n v="12"/>
    <n v="3"/>
    <n v="4"/>
    <n v="80"/>
    <n v="3"/>
    <n v="17"/>
    <n v="3"/>
    <n v="3"/>
    <n v="13"/>
    <n v="11"/>
    <n v="1"/>
    <n v="9"/>
  </r>
  <r>
    <n v="34"/>
    <x v="2"/>
    <x v="1"/>
    <s v="Travel_Rarely"/>
    <n v="1153"/>
    <x v="1"/>
    <n v="1"/>
    <n v="2"/>
    <x v="2"/>
    <n v="1"/>
    <n v="110"/>
    <n v="1"/>
    <x v="1"/>
    <n v="94"/>
    <n v="3"/>
    <n v="2"/>
    <x v="3"/>
    <n v="2"/>
    <x v="1"/>
    <n v="4325"/>
    <n v="17736"/>
    <n v="1"/>
    <s v="Y"/>
    <s v="No"/>
    <n v="15"/>
    <n v="3"/>
    <n v="3"/>
    <n v="80"/>
    <n v="0"/>
    <n v="5"/>
    <n v="2"/>
    <n v="3"/>
    <n v="5"/>
    <n v="2"/>
    <n v="1"/>
    <n v="3"/>
  </r>
  <r>
    <n v="56"/>
    <x v="1"/>
    <x v="1"/>
    <s v="Travel_Rarely"/>
    <n v="1400"/>
    <x v="1"/>
    <n v="7"/>
    <n v="3"/>
    <x v="0"/>
    <n v="1"/>
    <n v="112"/>
    <n v="4"/>
    <x v="1"/>
    <n v="49"/>
    <n v="1"/>
    <n v="3"/>
    <x v="3"/>
    <n v="4"/>
    <x v="0"/>
    <n v="7260"/>
    <n v="21698"/>
    <n v="4"/>
    <s v="Y"/>
    <s v="No"/>
    <n v="11"/>
    <n v="3"/>
    <n v="1"/>
    <n v="80"/>
    <n v="0"/>
    <n v="37"/>
    <n v="3"/>
    <n v="2"/>
    <n v="6"/>
    <n v="4"/>
    <n v="0"/>
    <n v="2"/>
  </r>
  <r>
    <n v="23"/>
    <x v="3"/>
    <x v="1"/>
    <s v="Travel_Rarely"/>
    <n v="541"/>
    <x v="0"/>
    <n v="2"/>
    <n v="1"/>
    <x v="4"/>
    <n v="1"/>
    <n v="113"/>
    <n v="3"/>
    <x v="1"/>
    <n v="62"/>
    <n v="3"/>
    <n v="1"/>
    <x v="6"/>
    <n v="1"/>
    <x v="2"/>
    <n v="2322"/>
    <n v="9518"/>
    <n v="3"/>
    <s v="Y"/>
    <s v="No"/>
    <n v="13"/>
    <n v="3"/>
    <n v="3"/>
    <n v="80"/>
    <n v="1"/>
    <n v="3"/>
    <n v="3"/>
    <n v="3"/>
    <n v="0"/>
    <n v="0"/>
    <n v="0"/>
    <n v="0"/>
  </r>
  <r>
    <n v="51"/>
    <x v="1"/>
    <x v="1"/>
    <s v="Travel_Rarely"/>
    <n v="432"/>
    <x v="1"/>
    <n v="9"/>
    <n v="4"/>
    <x v="0"/>
    <n v="1"/>
    <n v="116"/>
    <n v="4"/>
    <x v="1"/>
    <n v="96"/>
    <n v="3"/>
    <n v="1"/>
    <x v="2"/>
    <n v="4"/>
    <x v="1"/>
    <n v="2075"/>
    <n v="18725"/>
    <n v="3"/>
    <s v="Y"/>
    <s v="No"/>
    <n v="23"/>
    <n v="4"/>
    <n v="2"/>
    <n v="80"/>
    <n v="2"/>
    <n v="10"/>
    <n v="4"/>
    <n v="3"/>
    <n v="4"/>
    <n v="2"/>
    <n v="0"/>
    <n v="3"/>
  </r>
  <r>
    <n v="30"/>
    <x v="2"/>
    <x v="1"/>
    <s v="Travel_Rarely"/>
    <n v="288"/>
    <x v="1"/>
    <n v="2"/>
    <n v="3"/>
    <x v="0"/>
    <n v="1"/>
    <n v="117"/>
    <n v="3"/>
    <x v="1"/>
    <n v="99"/>
    <n v="2"/>
    <n v="2"/>
    <x v="4"/>
    <n v="4"/>
    <x v="1"/>
    <n v="4152"/>
    <n v="15830"/>
    <n v="1"/>
    <s v="Y"/>
    <s v="No"/>
    <n v="19"/>
    <n v="3"/>
    <n v="1"/>
    <n v="80"/>
    <n v="3"/>
    <n v="11"/>
    <n v="3"/>
    <n v="3"/>
    <n v="11"/>
    <n v="10"/>
    <n v="10"/>
    <n v="8"/>
  </r>
  <r>
    <n v="46"/>
    <x v="1"/>
    <x v="0"/>
    <s v="Travel_Rarely"/>
    <n v="669"/>
    <x v="0"/>
    <n v="9"/>
    <n v="2"/>
    <x v="2"/>
    <n v="1"/>
    <n v="118"/>
    <n v="3"/>
    <x v="1"/>
    <n v="64"/>
    <n v="2"/>
    <n v="3"/>
    <x v="0"/>
    <n v="4"/>
    <x v="0"/>
    <n v="9619"/>
    <n v="13596"/>
    <n v="1"/>
    <s v="Y"/>
    <s v="No"/>
    <n v="16"/>
    <n v="3"/>
    <n v="4"/>
    <n v="80"/>
    <n v="0"/>
    <n v="9"/>
    <n v="3"/>
    <n v="3"/>
    <n v="9"/>
    <n v="8"/>
    <n v="4"/>
    <n v="7"/>
  </r>
  <r>
    <n v="40"/>
    <x v="0"/>
    <x v="1"/>
    <s v="Travel_Frequently"/>
    <n v="530"/>
    <x v="1"/>
    <n v="1"/>
    <n v="4"/>
    <x v="0"/>
    <n v="1"/>
    <n v="119"/>
    <n v="3"/>
    <x v="1"/>
    <n v="78"/>
    <n v="2"/>
    <n v="4"/>
    <x v="4"/>
    <n v="2"/>
    <x v="1"/>
    <n v="13503"/>
    <n v="14115"/>
    <n v="1"/>
    <s v="Y"/>
    <s v="No"/>
    <n v="22"/>
    <n v="4"/>
    <n v="4"/>
    <n v="80"/>
    <n v="1"/>
    <n v="22"/>
    <n v="3"/>
    <n v="2"/>
    <n v="22"/>
    <n v="3"/>
    <n v="11"/>
    <n v="11"/>
  </r>
  <r>
    <n v="51"/>
    <x v="1"/>
    <x v="1"/>
    <s v="Travel_Rarely"/>
    <n v="632"/>
    <x v="0"/>
    <n v="21"/>
    <n v="4"/>
    <x v="3"/>
    <n v="1"/>
    <n v="120"/>
    <n v="3"/>
    <x v="1"/>
    <n v="71"/>
    <n v="3"/>
    <n v="2"/>
    <x v="0"/>
    <n v="4"/>
    <x v="0"/>
    <n v="5441"/>
    <n v="8423"/>
    <n v="0"/>
    <s v="Y"/>
    <s v="Yes"/>
    <n v="22"/>
    <n v="4"/>
    <n v="4"/>
    <n v="80"/>
    <n v="0"/>
    <n v="11"/>
    <n v="2"/>
    <n v="1"/>
    <n v="10"/>
    <n v="7"/>
    <n v="1"/>
    <n v="0"/>
  </r>
  <r>
    <n v="30"/>
    <x v="2"/>
    <x v="1"/>
    <s v="Travel_Rarely"/>
    <n v="1334"/>
    <x v="0"/>
    <n v="4"/>
    <n v="2"/>
    <x v="2"/>
    <n v="1"/>
    <n v="121"/>
    <n v="3"/>
    <x v="0"/>
    <n v="63"/>
    <n v="2"/>
    <n v="2"/>
    <x v="0"/>
    <n v="2"/>
    <x v="2"/>
    <n v="5209"/>
    <n v="19760"/>
    <n v="1"/>
    <s v="Y"/>
    <s v="Yes"/>
    <n v="12"/>
    <n v="3"/>
    <n v="2"/>
    <n v="80"/>
    <n v="3"/>
    <n v="11"/>
    <n v="4"/>
    <n v="2"/>
    <n v="11"/>
    <n v="8"/>
    <n v="2"/>
    <n v="7"/>
  </r>
  <r>
    <n v="46"/>
    <x v="1"/>
    <x v="1"/>
    <s v="Travel_Frequently"/>
    <n v="638"/>
    <x v="1"/>
    <n v="1"/>
    <n v="3"/>
    <x v="2"/>
    <n v="1"/>
    <n v="124"/>
    <n v="3"/>
    <x v="1"/>
    <n v="40"/>
    <n v="2"/>
    <n v="3"/>
    <x v="4"/>
    <n v="1"/>
    <x v="1"/>
    <n v="10673"/>
    <n v="3142"/>
    <n v="2"/>
    <s v="Y"/>
    <s v="Yes"/>
    <n v="13"/>
    <n v="3"/>
    <n v="3"/>
    <n v="80"/>
    <n v="1"/>
    <n v="21"/>
    <n v="5"/>
    <n v="2"/>
    <n v="10"/>
    <n v="9"/>
    <n v="9"/>
    <n v="5"/>
  </r>
  <r>
    <n v="32"/>
    <x v="2"/>
    <x v="1"/>
    <s v="Travel_Rarely"/>
    <n v="1093"/>
    <x v="0"/>
    <n v="6"/>
    <n v="4"/>
    <x v="2"/>
    <n v="1"/>
    <n v="125"/>
    <n v="2"/>
    <x v="1"/>
    <n v="87"/>
    <n v="3"/>
    <n v="2"/>
    <x v="0"/>
    <n v="3"/>
    <x v="0"/>
    <n v="5010"/>
    <n v="24301"/>
    <n v="1"/>
    <s v="Y"/>
    <s v="No"/>
    <n v="16"/>
    <n v="3"/>
    <n v="1"/>
    <n v="80"/>
    <n v="0"/>
    <n v="12"/>
    <n v="0"/>
    <n v="3"/>
    <n v="11"/>
    <n v="8"/>
    <n v="5"/>
    <n v="7"/>
  </r>
  <r>
    <n v="54"/>
    <x v="1"/>
    <x v="1"/>
    <s v="Travel_Rarely"/>
    <n v="1217"/>
    <x v="1"/>
    <n v="2"/>
    <n v="4"/>
    <x v="4"/>
    <n v="1"/>
    <n v="126"/>
    <n v="1"/>
    <x v="0"/>
    <n v="60"/>
    <n v="3"/>
    <n v="3"/>
    <x v="7"/>
    <n v="3"/>
    <x v="1"/>
    <n v="13549"/>
    <n v="24001"/>
    <n v="9"/>
    <s v="Y"/>
    <s v="No"/>
    <n v="12"/>
    <n v="3"/>
    <n v="1"/>
    <n v="80"/>
    <n v="1"/>
    <n v="16"/>
    <n v="5"/>
    <n v="1"/>
    <n v="4"/>
    <n v="3"/>
    <n v="0"/>
    <n v="3"/>
  </r>
  <r>
    <n v="24"/>
    <x v="3"/>
    <x v="1"/>
    <s v="Travel_Rarely"/>
    <n v="1353"/>
    <x v="0"/>
    <n v="3"/>
    <n v="2"/>
    <x v="1"/>
    <n v="1"/>
    <n v="128"/>
    <n v="1"/>
    <x v="0"/>
    <n v="33"/>
    <n v="3"/>
    <n v="2"/>
    <x v="0"/>
    <n v="3"/>
    <x v="1"/>
    <n v="4999"/>
    <n v="17519"/>
    <n v="0"/>
    <s v="Y"/>
    <s v="No"/>
    <n v="21"/>
    <n v="4"/>
    <n v="1"/>
    <n v="80"/>
    <n v="1"/>
    <n v="4"/>
    <n v="2"/>
    <n v="2"/>
    <n v="3"/>
    <n v="2"/>
    <n v="0"/>
    <n v="2"/>
  </r>
  <r>
    <n v="28"/>
    <x v="2"/>
    <x v="1"/>
    <s v="Non-Travel"/>
    <n v="120"/>
    <x v="0"/>
    <n v="4"/>
    <n v="3"/>
    <x v="2"/>
    <n v="1"/>
    <n v="129"/>
    <n v="2"/>
    <x v="1"/>
    <n v="43"/>
    <n v="3"/>
    <n v="2"/>
    <x v="0"/>
    <n v="3"/>
    <x v="1"/>
    <n v="4221"/>
    <n v="8863"/>
    <n v="1"/>
    <s v="Y"/>
    <s v="No"/>
    <n v="15"/>
    <n v="3"/>
    <n v="2"/>
    <n v="80"/>
    <n v="0"/>
    <n v="5"/>
    <n v="3"/>
    <n v="4"/>
    <n v="5"/>
    <n v="4"/>
    <n v="0"/>
    <n v="4"/>
  </r>
  <r>
    <n v="58"/>
    <x v="1"/>
    <x v="1"/>
    <s v="Travel_Rarely"/>
    <n v="682"/>
    <x v="0"/>
    <n v="10"/>
    <n v="4"/>
    <x v="2"/>
    <n v="1"/>
    <n v="131"/>
    <n v="4"/>
    <x v="1"/>
    <n v="37"/>
    <n v="3"/>
    <n v="4"/>
    <x v="0"/>
    <n v="3"/>
    <x v="0"/>
    <n v="13872"/>
    <n v="24409"/>
    <n v="0"/>
    <s v="Y"/>
    <s v="No"/>
    <n v="13"/>
    <n v="3"/>
    <n v="3"/>
    <n v="80"/>
    <n v="0"/>
    <n v="38"/>
    <n v="1"/>
    <n v="2"/>
    <n v="37"/>
    <n v="10"/>
    <n v="1"/>
    <n v="8"/>
  </r>
  <r>
    <n v="44"/>
    <x v="0"/>
    <x v="1"/>
    <s v="Non-Travel"/>
    <n v="489"/>
    <x v="1"/>
    <n v="23"/>
    <n v="3"/>
    <x v="2"/>
    <n v="1"/>
    <n v="132"/>
    <n v="2"/>
    <x v="1"/>
    <n v="67"/>
    <n v="3"/>
    <n v="2"/>
    <x v="2"/>
    <n v="2"/>
    <x v="1"/>
    <n v="2042"/>
    <n v="25043"/>
    <n v="4"/>
    <s v="Y"/>
    <s v="No"/>
    <n v="12"/>
    <n v="3"/>
    <n v="3"/>
    <n v="80"/>
    <n v="1"/>
    <n v="17"/>
    <n v="3"/>
    <n v="4"/>
    <n v="3"/>
    <n v="2"/>
    <n v="1"/>
    <n v="2"/>
  </r>
  <r>
    <n v="37"/>
    <x v="0"/>
    <x v="0"/>
    <s v="Travel_Rarely"/>
    <n v="807"/>
    <x v="2"/>
    <n v="6"/>
    <n v="4"/>
    <x v="5"/>
    <n v="1"/>
    <n v="133"/>
    <n v="3"/>
    <x v="1"/>
    <n v="63"/>
    <n v="3"/>
    <n v="1"/>
    <x v="8"/>
    <n v="1"/>
    <x v="2"/>
    <n v="2073"/>
    <n v="23648"/>
    <n v="4"/>
    <s v="Y"/>
    <s v="Yes"/>
    <n v="22"/>
    <n v="4"/>
    <n v="4"/>
    <n v="80"/>
    <n v="0"/>
    <n v="7"/>
    <n v="3"/>
    <n v="3"/>
    <n v="3"/>
    <n v="2"/>
    <n v="0"/>
    <n v="2"/>
  </r>
  <r>
    <n v="32"/>
    <x v="2"/>
    <x v="1"/>
    <s v="Travel_Rarely"/>
    <n v="827"/>
    <x v="1"/>
    <n v="1"/>
    <n v="1"/>
    <x v="0"/>
    <n v="1"/>
    <n v="134"/>
    <n v="4"/>
    <x v="1"/>
    <n v="71"/>
    <n v="3"/>
    <n v="1"/>
    <x v="1"/>
    <n v="1"/>
    <x v="0"/>
    <n v="2956"/>
    <n v="15178"/>
    <n v="1"/>
    <s v="Y"/>
    <s v="No"/>
    <n v="13"/>
    <n v="3"/>
    <n v="4"/>
    <n v="80"/>
    <n v="0"/>
    <n v="1"/>
    <n v="2"/>
    <n v="3"/>
    <n v="1"/>
    <n v="0"/>
    <n v="0"/>
    <n v="0"/>
  </r>
  <r>
    <n v="20"/>
    <x v="3"/>
    <x v="0"/>
    <s v="Travel_Frequently"/>
    <n v="871"/>
    <x v="1"/>
    <n v="6"/>
    <n v="3"/>
    <x v="0"/>
    <n v="1"/>
    <n v="137"/>
    <n v="4"/>
    <x v="0"/>
    <n v="66"/>
    <n v="2"/>
    <n v="1"/>
    <x v="2"/>
    <n v="4"/>
    <x v="0"/>
    <n v="2926"/>
    <n v="19783"/>
    <n v="1"/>
    <s v="Y"/>
    <s v="Yes"/>
    <n v="18"/>
    <n v="3"/>
    <n v="2"/>
    <n v="80"/>
    <n v="0"/>
    <n v="1"/>
    <n v="5"/>
    <n v="3"/>
    <n v="1"/>
    <n v="0"/>
    <n v="1"/>
    <n v="0"/>
  </r>
  <r>
    <n v="34"/>
    <x v="2"/>
    <x v="1"/>
    <s v="Travel_Rarely"/>
    <n v="665"/>
    <x v="1"/>
    <n v="6"/>
    <n v="4"/>
    <x v="1"/>
    <n v="1"/>
    <n v="138"/>
    <n v="1"/>
    <x v="0"/>
    <n v="41"/>
    <n v="3"/>
    <n v="2"/>
    <x v="1"/>
    <n v="3"/>
    <x v="0"/>
    <n v="4809"/>
    <n v="12482"/>
    <n v="1"/>
    <s v="Y"/>
    <s v="No"/>
    <n v="14"/>
    <n v="3"/>
    <n v="3"/>
    <n v="80"/>
    <n v="0"/>
    <n v="16"/>
    <n v="3"/>
    <n v="3"/>
    <n v="16"/>
    <n v="13"/>
    <n v="2"/>
    <n v="10"/>
  </r>
  <r>
    <n v="37"/>
    <x v="0"/>
    <x v="1"/>
    <s v="Non-Travel"/>
    <n v="1040"/>
    <x v="1"/>
    <n v="2"/>
    <n v="2"/>
    <x v="0"/>
    <n v="1"/>
    <n v="139"/>
    <n v="3"/>
    <x v="1"/>
    <n v="100"/>
    <n v="2"/>
    <n v="2"/>
    <x v="4"/>
    <n v="4"/>
    <x v="2"/>
    <n v="5163"/>
    <n v="15850"/>
    <n v="5"/>
    <s v="Y"/>
    <s v="No"/>
    <n v="14"/>
    <n v="3"/>
    <n v="4"/>
    <n v="80"/>
    <n v="1"/>
    <n v="17"/>
    <n v="2"/>
    <n v="4"/>
    <n v="1"/>
    <n v="0"/>
    <n v="0"/>
    <n v="0"/>
  </r>
  <r>
    <n v="59"/>
    <x v="1"/>
    <x v="1"/>
    <s v="Non-Travel"/>
    <n v="1420"/>
    <x v="2"/>
    <n v="2"/>
    <n v="4"/>
    <x v="5"/>
    <n v="1"/>
    <n v="140"/>
    <n v="3"/>
    <x v="0"/>
    <n v="32"/>
    <n v="2"/>
    <n v="5"/>
    <x v="5"/>
    <n v="4"/>
    <x v="1"/>
    <n v="18844"/>
    <n v="21922"/>
    <n v="9"/>
    <s v="Y"/>
    <s v="No"/>
    <n v="21"/>
    <n v="4"/>
    <n v="4"/>
    <n v="80"/>
    <n v="1"/>
    <n v="30"/>
    <n v="3"/>
    <n v="3"/>
    <n v="3"/>
    <n v="2"/>
    <n v="2"/>
    <n v="2"/>
  </r>
  <r>
    <n v="50"/>
    <x v="1"/>
    <x v="1"/>
    <s v="Travel_Frequently"/>
    <n v="1115"/>
    <x v="1"/>
    <n v="1"/>
    <n v="3"/>
    <x v="0"/>
    <n v="1"/>
    <n v="141"/>
    <n v="1"/>
    <x v="0"/>
    <n v="73"/>
    <n v="3"/>
    <n v="5"/>
    <x v="7"/>
    <n v="2"/>
    <x v="1"/>
    <n v="18172"/>
    <n v="9755"/>
    <n v="3"/>
    <s v="Y"/>
    <s v="Yes"/>
    <n v="19"/>
    <n v="3"/>
    <n v="1"/>
    <n v="80"/>
    <n v="0"/>
    <n v="28"/>
    <n v="1"/>
    <n v="2"/>
    <n v="8"/>
    <n v="3"/>
    <n v="0"/>
    <n v="7"/>
  </r>
  <r>
    <n v="25"/>
    <x v="3"/>
    <x v="0"/>
    <s v="Travel_Rarely"/>
    <n v="240"/>
    <x v="0"/>
    <n v="5"/>
    <n v="3"/>
    <x v="3"/>
    <n v="1"/>
    <n v="142"/>
    <n v="3"/>
    <x v="1"/>
    <n v="46"/>
    <n v="2"/>
    <n v="2"/>
    <x v="0"/>
    <n v="3"/>
    <x v="0"/>
    <n v="5744"/>
    <n v="26959"/>
    <n v="1"/>
    <s v="Y"/>
    <s v="Yes"/>
    <n v="11"/>
    <n v="3"/>
    <n v="4"/>
    <n v="80"/>
    <n v="0"/>
    <n v="6"/>
    <n v="1"/>
    <n v="3"/>
    <n v="6"/>
    <n v="4"/>
    <n v="0"/>
    <n v="3"/>
  </r>
  <r>
    <n v="25"/>
    <x v="3"/>
    <x v="1"/>
    <s v="Travel_Rarely"/>
    <n v="1280"/>
    <x v="1"/>
    <n v="7"/>
    <n v="1"/>
    <x v="2"/>
    <n v="1"/>
    <n v="143"/>
    <n v="4"/>
    <x v="1"/>
    <n v="64"/>
    <n v="2"/>
    <n v="1"/>
    <x v="1"/>
    <n v="4"/>
    <x v="1"/>
    <n v="2889"/>
    <n v="26897"/>
    <n v="1"/>
    <s v="Y"/>
    <s v="No"/>
    <n v="11"/>
    <n v="3"/>
    <n v="3"/>
    <n v="80"/>
    <n v="2"/>
    <n v="2"/>
    <n v="2"/>
    <n v="3"/>
    <n v="2"/>
    <n v="2"/>
    <n v="2"/>
    <n v="1"/>
  </r>
  <r>
    <n v="22"/>
    <x v="3"/>
    <x v="1"/>
    <s v="Travel_Rarely"/>
    <n v="534"/>
    <x v="1"/>
    <n v="15"/>
    <n v="3"/>
    <x v="2"/>
    <n v="1"/>
    <n v="144"/>
    <n v="2"/>
    <x v="0"/>
    <n v="59"/>
    <n v="3"/>
    <n v="1"/>
    <x v="2"/>
    <n v="4"/>
    <x v="0"/>
    <n v="2871"/>
    <n v="23785"/>
    <n v="1"/>
    <s v="Y"/>
    <s v="No"/>
    <n v="15"/>
    <n v="3"/>
    <n v="3"/>
    <n v="80"/>
    <n v="0"/>
    <n v="1"/>
    <n v="5"/>
    <n v="3"/>
    <n v="0"/>
    <n v="0"/>
    <n v="0"/>
    <n v="0"/>
  </r>
  <r>
    <n v="51"/>
    <x v="1"/>
    <x v="1"/>
    <s v="Travel_Frequently"/>
    <n v="1456"/>
    <x v="1"/>
    <n v="1"/>
    <n v="4"/>
    <x v="2"/>
    <n v="1"/>
    <n v="145"/>
    <n v="1"/>
    <x v="0"/>
    <n v="30"/>
    <n v="2"/>
    <n v="3"/>
    <x v="4"/>
    <n v="1"/>
    <x v="0"/>
    <n v="7484"/>
    <n v="25796"/>
    <n v="3"/>
    <s v="Y"/>
    <s v="No"/>
    <n v="20"/>
    <n v="4"/>
    <n v="3"/>
    <n v="80"/>
    <n v="0"/>
    <n v="23"/>
    <n v="1"/>
    <n v="2"/>
    <n v="13"/>
    <n v="12"/>
    <n v="12"/>
    <n v="8"/>
  </r>
  <r>
    <n v="34"/>
    <x v="2"/>
    <x v="0"/>
    <s v="Travel_Frequently"/>
    <n v="658"/>
    <x v="1"/>
    <n v="7"/>
    <n v="3"/>
    <x v="0"/>
    <n v="1"/>
    <n v="147"/>
    <n v="1"/>
    <x v="1"/>
    <n v="66"/>
    <n v="1"/>
    <n v="2"/>
    <x v="2"/>
    <n v="3"/>
    <x v="0"/>
    <n v="6074"/>
    <n v="22887"/>
    <n v="1"/>
    <s v="Y"/>
    <s v="Yes"/>
    <n v="24"/>
    <n v="4"/>
    <n v="4"/>
    <n v="80"/>
    <n v="0"/>
    <n v="9"/>
    <n v="3"/>
    <n v="3"/>
    <n v="9"/>
    <n v="7"/>
    <n v="0"/>
    <n v="6"/>
  </r>
  <r>
    <n v="54"/>
    <x v="1"/>
    <x v="1"/>
    <s v="Non-Travel"/>
    <n v="142"/>
    <x v="2"/>
    <n v="26"/>
    <n v="3"/>
    <x v="5"/>
    <n v="1"/>
    <n v="148"/>
    <n v="4"/>
    <x v="0"/>
    <n v="30"/>
    <n v="4"/>
    <n v="4"/>
    <x v="5"/>
    <n v="4"/>
    <x v="0"/>
    <n v="17328"/>
    <n v="13871"/>
    <n v="2"/>
    <s v="Y"/>
    <s v="Yes"/>
    <n v="12"/>
    <n v="3"/>
    <n v="3"/>
    <n v="80"/>
    <n v="0"/>
    <n v="23"/>
    <n v="3"/>
    <n v="3"/>
    <n v="5"/>
    <n v="3"/>
    <n v="4"/>
    <n v="4"/>
  </r>
  <r>
    <n v="24"/>
    <x v="3"/>
    <x v="1"/>
    <s v="Travel_Rarely"/>
    <n v="1127"/>
    <x v="1"/>
    <n v="18"/>
    <n v="1"/>
    <x v="0"/>
    <n v="1"/>
    <n v="150"/>
    <n v="2"/>
    <x v="1"/>
    <n v="52"/>
    <n v="3"/>
    <n v="1"/>
    <x v="2"/>
    <n v="3"/>
    <x v="1"/>
    <n v="2774"/>
    <n v="13257"/>
    <n v="0"/>
    <s v="Y"/>
    <s v="No"/>
    <n v="12"/>
    <n v="3"/>
    <n v="3"/>
    <n v="80"/>
    <n v="1"/>
    <n v="6"/>
    <n v="2"/>
    <n v="3"/>
    <n v="5"/>
    <n v="3"/>
    <n v="1"/>
    <n v="2"/>
  </r>
  <r>
    <n v="34"/>
    <x v="2"/>
    <x v="1"/>
    <s v="Travel_Rarely"/>
    <n v="1031"/>
    <x v="1"/>
    <n v="6"/>
    <n v="4"/>
    <x v="0"/>
    <n v="1"/>
    <n v="151"/>
    <n v="3"/>
    <x v="0"/>
    <n v="45"/>
    <n v="2"/>
    <n v="2"/>
    <x v="1"/>
    <n v="2"/>
    <x v="2"/>
    <n v="4505"/>
    <n v="15000"/>
    <n v="6"/>
    <s v="Y"/>
    <s v="No"/>
    <n v="15"/>
    <n v="3"/>
    <n v="3"/>
    <n v="80"/>
    <n v="1"/>
    <n v="12"/>
    <n v="3"/>
    <n v="3"/>
    <n v="1"/>
    <n v="0"/>
    <n v="0"/>
    <n v="0"/>
  </r>
  <r>
    <n v="37"/>
    <x v="0"/>
    <x v="1"/>
    <s v="Travel_Rarely"/>
    <n v="1189"/>
    <x v="0"/>
    <n v="3"/>
    <n v="3"/>
    <x v="0"/>
    <n v="1"/>
    <n v="152"/>
    <n v="3"/>
    <x v="1"/>
    <n v="87"/>
    <n v="3"/>
    <n v="3"/>
    <x v="0"/>
    <n v="4"/>
    <x v="0"/>
    <n v="7428"/>
    <n v="14506"/>
    <n v="2"/>
    <s v="Y"/>
    <s v="No"/>
    <n v="12"/>
    <n v="3"/>
    <n v="1"/>
    <n v="80"/>
    <n v="0"/>
    <n v="12"/>
    <n v="3"/>
    <n v="3"/>
    <n v="5"/>
    <n v="3"/>
    <n v="1"/>
    <n v="3"/>
  </r>
  <r>
    <n v="34"/>
    <x v="2"/>
    <x v="1"/>
    <s v="Travel_Rarely"/>
    <n v="1354"/>
    <x v="1"/>
    <n v="5"/>
    <n v="3"/>
    <x v="2"/>
    <n v="1"/>
    <n v="153"/>
    <n v="3"/>
    <x v="0"/>
    <n v="45"/>
    <n v="2"/>
    <n v="3"/>
    <x v="5"/>
    <n v="1"/>
    <x v="0"/>
    <n v="11631"/>
    <n v="5615"/>
    <n v="2"/>
    <s v="Y"/>
    <s v="No"/>
    <n v="12"/>
    <n v="3"/>
    <n v="4"/>
    <n v="80"/>
    <n v="0"/>
    <n v="14"/>
    <n v="6"/>
    <n v="3"/>
    <n v="11"/>
    <n v="10"/>
    <n v="5"/>
    <n v="8"/>
  </r>
  <r>
    <n v="36"/>
    <x v="0"/>
    <x v="1"/>
    <s v="Travel_Frequently"/>
    <n v="1467"/>
    <x v="0"/>
    <n v="11"/>
    <n v="2"/>
    <x v="4"/>
    <n v="1"/>
    <n v="154"/>
    <n v="2"/>
    <x v="0"/>
    <n v="92"/>
    <n v="3"/>
    <n v="3"/>
    <x v="0"/>
    <n v="4"/>
    <x v="1"/>
    <n v="9738"/>
    <n v="22952"/>
    <n v="0"/>
    <s v="Y"/>
    <s v="No"/>
    <n v="14"/>
    <n v="3"/>
    <n v="3"/>
    <n v="80"/>
    <n v="1"/>
    <n v="10"/>
    <n v="6"/>
    <n v="3"/>
    <n v="9"/>
    <n v="7"/>
    <n v="2"/>
    <n v="8"/>
  </r>
  <r>
    <n v="36"/>
    <x v="0"/>
    <x v="1"/>
    <s v="Travel_Rarely"/>
    <n v="922"/>
    <x v="1"/>
    <n v="3"/>
    <n v="2"/>
    <x v="0"/>
    <n v="1"/>
    <n v="155"/>
    <n v="1"/>
    <x v="0"/>
    <n v="39"/>
    <n v="3"/>
    <n v="1"/>
    <x v="2"/>
    <n v="4"/>
    <x v="2"/>
    <n v="2835"/>
    <n v="2561"/>
    <n v="5"/>
    <s v="Y"/>
    <s v="No"/>
    <n v="22"/>
    <n v="4"/>
    <n v="1"/>
    <n v="80"/>
    <n v="1"/>
    <n v="7"/>
    <n v="2"/>
    <n v="3"/>
    <n v="1"/>
    <n v="0"/>
    <n v="0"/>
    <n v="0"/>
  </r>
  <r>
    <n v="43"/>
    <x v="0"/>
    <x v="1"/>
    <s v="Travel_Frequently"/>
    <n v="394"/>
    <x v="0"/>
    <n v="26"/>
    <n v="2"/>
    <x v="0"/>
    <n v="1"/>
    <n v="158"/>
    <n v="3"/>
    <x v="1"/>
    <n v="92"/>
    <n v="3"/>
    <n v="4"/>
    <x v="5"/>
    <n v="4"/>
    <x v="1"/>
    <n v="16959"/>
    <n v="19494"/>
    <n v="1"/>
    <s v="Y"/>
    <s v="Yes"/>
    <n v="12"/>
    <n v="3"/>
    <n v="4"/>
    <n v="80"/>
    <n v="2"/>
    <n v="25"/>
    <n v="3"/>
    <n v="4"/>
    <n v="25"/>
    <n v="12"/>
    <n v="4"/>
    <n v="12"/>
  </r>
  <r>
    <n v="30"/>
    <x v="2"/>
    <x v="1"/>
    <s v="Travel_Frequently"/>
    <n v="1312"/>
    <x v="1"/>
    <n v="23"/>
    <n v="3"/>
    <x v="0"/>
    <n v="1"/>
    <n v="159"/>
    <n v="1"/>
    <x v="1"/>
    <n v="96"/>
    <n v="1"/>
    <n v="1"/>
    <x v="1"/>
    <n v="3"/>
    <x v="2"/>
    <n v="2613"/>
    <n v="22310"/>
    <n v="1"/>
    <s v="Y"/>
    <s v="No"/>
    <n v="25"/>
    <n v="4"/>
    <n v="3"/>
    <n v="80"/>
    <n v="3"/>
    <n v="10"/>
    <n v="2"/>
    <n v="2"/>
    <n v="10"/>
    <n v="7"/>
    <n v="0"/>
    <n v="9"/>
  </r>
  <r>
    <n v="33"/>
    <x v="2"/>
    <x v="1"/>
    <s v="Non-Travel"/>
    <n v="750"/>
    <x v="0"/>
    <n v="22"/>
    <n v="2"/>
    <x v="3"/>
    <n v="1"/>
    <n v="160"/>
    <n v="3"/>
    <x v="1"/>
    <n v="95"/>
    <n v="3"/>
    <n v="2"/>
    <x v="0"/>
    <n v="2"/>
    <x v="1"/>
    <n v="6146"/>
    <n v="15480"/>
    <n v="0"/>
    <s v="Y"/>
    <s v="No"/>
    <n v="13"/>
    <n v="3"/>
    <n v="1"/>
    <n v="80"/>
    <n v="1"/>
    <n v="8"/>
    <n v="2"/>
    <n v="4"/>
    <n v="7"/>
    <n v="7"/>
    <n v="0"/>
    <n v="7"/>
  </r>
  <r>
    <n v="56"/>
    <x v="1"/>
    <x v="0"/>
    <s v="Travel_Rarely"/>
    <n v="441"/>
    <x v="1"/>
    <n v="14"/>
    <n v="4"/>
    <x v="0"/>
    <n v="1"/>
    <n v="161"/>
    <n v="2"/>
    <x v="0"/>
    <n v="72"/>
    <n v="3"/>
    <n v="1"/>
    <x v="1"/>
    <n v="2"/>
    <x v="1"/>
    <n v="4963"/>
    <n v="4510"/>
    <n v="9"/>
    <s v="Y"/>
    <s v="Yes"/>
    <n v="18"/>
    <n v="3"/>
    <n v="1"/>
    <n v="80"/>
    <n v="3"/>
    <n v="7"/>
    <n v="2"/>
    <n v="3"/>
    <n v="5"/>
    <n v="4"/>
    <n v="4"/>
    <n v="3"/>
  </r>
  <r>
    <n v="51"/>
    <x v="1"/>
    <x v="1"/>
    <s v="Travel_Rarely"/>
    <n v="684"/>
    <x v="1"/>
    <n v="6"/>
    <n v="3"/>
    <x v="0"/>
    <n v="1"/>
    <n v="162"/>
    <n v="1"/>
    <x v="1"/>
    <n v="51"/>
    <n v="3"/>
    <n v="5"/>
    <x v="7"/>
    <n v="3"/>
    <x v="0"/>
    <n v="19537"/>
    <n v="6462"/>
    <n v="7"/>
    <s v="Y"/>
    <s v="No"/>
    <n v="13"/>
    <n v="3"/>
    <n v="3"/>
    <n v="80"/>
    <n v="0"/>
    <n v="23"/>
    <n v="5"/>
    <n v="3"/>
    <n v="20"/>
    <n v="18"/>
    <n v="15"/>
    <n v="15"/>
  </r>
  <r>
    <n v="31"/>
    <x v="2"/>
    <x v="0"/>
    <s v="Travel_Rarely"/>
    <n v="249"/>
    <x v="0"/>
    <n v="6"/>
    <n v="4"/>
    <x v="0"/>
    <n v="1"/>
    <n v="163"/>
    <n v="2"/>
    <x v="1"/>
    <n v="76"/>
    <n v="1"/>
    <n v="2"/>
    <x v="0"/>
    <n v="3"/>
    <x v="1"/>
    <n v="6172"/>
    <n v="20739"/>
    <n v="4"/>
    <s v="Y"/>
    <s v="Yes"/>
    <n v="18"/>
    <n v="3"/>
    <n v="2"/>
    <n v="80"/>
    <n v="0"/>
    <n v="12"/>
    <n v="3"/>
    <n v="2"/>
    <n v="7"/>
    <n v="7"/>
    <n v="7"/>
    <n v="7"/>
  </r>
  <r>
    <n v="26"/>
    <x v="2"/>
    <x v="1"/>
    <s v="Travel_Rarely"/>
    <n v="841"/>
    <x v="1"/>
    <n v="6"/>
    <n v="3"/>
    <x v="1"/>
    <n v="1"/>
    <n v="164"/>
    <n v="3"/>
    <x v="0"/>
    <n v="46"/>
    <n v="2"/>
    <n v="1"/>
    <x v="1"/>
    <n v="2"/>
    <x v="1"/>
    <n v="2368"/>
    <n v="23300"/>
    <n v="1"/>
    <s v="Y"/>
    <s v="No"/>
    <n v="19"/>
    <n v="3"/>
    <n v="3"/>
    <n v="80"/>
    <n v="0"/>
    <n v="5"/>
    <n v="3"/>
    <n v="2"/>
    <n v="5"/>
    <n v="4"/>
    <n v="4"/>
    <n v="3"/>
  </r>
  <r>
    <n v="58"/>
    <x v="1"/>
    <x v="0"/>
    <s v="Travel_Rarely"/>
    <n v="147"/>
    <x v="1"/>
    <n v="23"/>
    <n v="4"/>
    <x v="2"/>
    <n v="1"/>
    <n v="165"/>
    <n v="4"/>
    <x v="0"/>
    <n v="94"/>
    <n v="3"/>
    <n v="3"/>
    <x v="4"/>
    <n v="4"/>
    <x v="1"/>
    <n v="10312"/>
    <n v="3465"/>
    <n v="1"/>
    <s v="Y"/>
    <s v="No"/>
    <n v="12"/>
    <n v="3"/>
    <n v="4"/>
    <n v="80"/>
    <n v="1"/>
    <n v="40"/>
    <n v="3"/>
    <n v="2"/>
    <n v="40"/>
    <n v="10"/>
    <n v="15"/>
    <n v="6"/>
  </r>
  <r>
    <n v="19"/>
    <x v="3"/>
    <x v="0"/>
    <s v="Travel_Rarely"/>
    <n v="528"/>
    <x v="0"/>
    <n v="22"/>
    <n v="1"/>
    <x v="3"/>
    <n v="1"/>
    <n v="167"/>
    <n v="4"/>
    <x v="1"/>
    <n v="50"/>
    <n v="3"/>
    <n v="1"/>
    <x v="6"/>
    <n v="3"/>
    <x v="0"/>
    <n v="1675"/>
    <n v="26820"/>
    <n v="1"/>
    <s v="Y"/>
    <s v="Yes"/>
    <n v="19"/>
    <n v="3"/>
    <n v="4"/>
    <n v="80"/>
    <n v="0"/>
    <n v="0"/>
    <n v="2"/>
    <n v="2"/>
    <n v="0"/>
    <n v="0"/>
    <n v="0"/>
    <n v="0"/>
  </r>
  <r>
    <n v="22"/>
    <x v="3"/>
    <x v="1"/>
    <s v="Travel_Rarely"/>
    <n v="594"/>
    <x v="1"/>
    <n v="2"/>
    <n v="1"/>
    <x v="4"/>
    <n v="1"/>
    <n v="169"/>
    <n v="3"/>
    <x v="1"/>
    <n v="100"/>
    <n v="3"/>
    <n v="1"/>
    <x v="2"/>
    <n v="4"/>
    <x v="1"/>
    <n v="2523"/>
    <n v="19299"/>
    <n v="0"/>
    <s v="Y"/>
    <s v="No"/>
    <n v="14"/>
    <n v="3"/>
    <n v="3"/>
    <n v="80"/>
    <n v="1"/>
    <n v="3"/>
    <n v="2"/>
    <n v="3"/>
    <n v="2"/>
    <n v="1"/>
    <n v="2"/>
    <n v="1"/>
  </r>
  <r>
    <n v="49"/>
    <x v="1"/>
    <x v="1"/>
    <s v="Travel_Rarely"/>
    <n v="470"/>
    <x v="1"/>
    <n v="20"/>
    <n v="4"/>
    <x v="2"/>
    <n v="1"/>
    <n v="170"/>
    <n v="3"/>
    <x v="0"/>
    <n v="96"/>
    <n v="3"/>
    <n v="2"/>
    <x v="3"/>
    <n v="1"/>
    <x v="1"/>
    <n v="6567"/>
    <n v="5549"/>
    <n v="1"/>
    <s v="Y"/>
    <s v="No"/>
    <n v="14"/>
    <n v="3"/>
    <n v="3"/>
    <n v="80"/>
    <n v="0"/>
    <n v="16"/>
    <n v="2"/>
    <n v="2"/>
    <n v="15"/>
    <n v="11"/>
    <n v="5"/>
    <n v="11"/>
  </r>
  <r>
    <n v="43"/>
    <x v="0"/>
    <x v="1"/>
    <s v="Travel_Frequently"/>
    <n v="957"/>
    <x v="1"/>
    <n v="28"/>
    <n v="3"/>
    <x v="2"/>
    <n v="1"/>
    <n v="171"/>
    <n v="2"/>
    <x v="0"/>
    <n v="72"/>
    <n v="4"/>
    <n v="1"/>
    <x v="1"/>
    <n v="3"/>
    <x v="0"/>
    <n v="4739"/>
    <n v="16090"/>
    <n v="4"/>
    <s v="Y"/>
    <s v="No"/>
    <n v="12"/>
    <n v="3"/>
    <n v="4"/>
    <n v="80"/>
    <n v="0"/>
    <n v="18"/>
    <n v="2"/>
    <n v="3"/>
    <n v="3"/>
    <n v="2"/>
    <n v="1"/>
    <n v="2"/>
  </r>
  <r>
    <n v="50"/>
    <x v="1"/>
    <x v="1"/>
    <s v="Travel_Frequently"/>
    <n v="809"/>
    <x v="0"/>
    <n v="12"/>
    <n v="3"/>
    <x v="3"/>
    <n v="1"/>
    <n v="174"/>
    <n v="3"/>
    <x v="0"/>
    <n v="77"/>
    <n v="3"/>
    <n v="3"/>
    <x v="0"/>
    <n v="4"/>
    <x v="0"/>
    <n v="9208"/>
    <n v="6645"/>
    <n v="4"/>
    <s v="Y"/>
    <s v="No"/>
    <n v="11"/>
    <n v="3"/>
    <n v="4"/>
    <n v="80"/>
    <n v="0"/>
    <n v="16"/>
    <n v="3"/>
    <n v="3"/>
    <n v="2"/>
    <n v="2"/>
    <n v="2"/>
    <n v="1"/>
  </r>
  <r>
    <n v="31"/>
    <x v="2"/>
    <x v="0"/>
    <s v="Travel_Rarely"/>
    <n v="542"/>
    <x v="0"/>
    <n v="20"/>
    <n v="3"/>
    <x v="0"/>
    <n v="1"/>
    <n v="175"/>
    <n v="2"/>
    <x v="0"/>
    <n v="71"/>
    <n v="1"/>
    <n v="2"/>
    <x v="0"/>
    <n v="3"/>
    <x v="1"/>
    <n v="4559"/>
    <n v="24788"/>
    <n v="3"/>
    <s v="Y"/>
    <s v="Yes"/>
    <n v="11"/>
    <n v="3"/>
    <n v="3"/>
    <n v="80"/>
    <n v="1"/>
    <n v="4"/>
    <n v="2"/>
    <n v="3"/>
    <n v="2"/>
    <n v="2"/>
    <n v="2"/>
    <n v="2"/>
  </r>
  <r>
    <n v="41"/>
    <x v="0"/>
    <x v="1"/>
    <s v="Travel_Rarely"/>
    <n v="802"/>
    <x v="0"/>
    <n v="9"/>
    <n v="1"/>
    <x v="0"/>
    <n v="1"/>
    <n v="176"/>
    <n v="3"/>
    <x v="1"/>
    <n v="96"/>
    <n v="3"/>
    <n v="3"/>
    <x v="0"/>
    <n v="3"/>
    <x v="2"/>
    <n v="8189"/>
    <n v="21196"/>
    <n v="3"/>
    <s v="Y"/>
    <s v="Yes"/>
    <n v="13"/>
    <n v="3"/>
    <n v="3"/>
    <n v="80"/>
    <n v="1"/>
    <n v="12"/>
    <n v="2"/>
    <n v="3"/>
    <n v="9"/>
    <n v="7"/>
    <n v="0"/>
    <n v="7"/>
  </r>
  <r>
    <n v="26"/>
    <x v="2"/>
    <x v="1"/>
    <s v="Travel_Rarely"/>
    <n v="1355"/>
    <x v="2"/>
    <n v="25"/>
    <n v="1"/>
    <x v="0"/>
    <n v="1"/>
    <n v="177"/>
    <n v="3"/>
    <x v="0"/>
    <n v="61"/>
    <n v="3"/>
    <n v="1"/>
    <x v="8"/>
    <n v="3"/>
    <x v="1"/>
    <n v="2942"/>
    <n v="8916"/>
    <n v="1"/>
    <s v="Y"/>
    <s v="No"/>
    <n v="23"/>
    <n v="4"/>
    <n v="4"/>
    <n v="80"/>
    <n v="1"/>
    <n v="8"/>
    <n v="3"/>
    <n v="3"/>
    <n v="8"/>
    <n v="7"/>
    <n v="5"/>
    <n v="7"/>
  </r>
  <r>
    <n v="36"/>
    <x v="0"/>
    <x v="1"/>
    <s v="Travel_Rarely"/>
    <n v="216"/>
    <x v="1"/>
    <n v="6"/>
    <n v="2"/>
    <x v="2"/>
    <n v="1"/>
    <n v="178"/>
    <n v="2"/>
    <x v="1"/>
    <n v="84"/>
    <n v="3"/>
    <n v="2"/>
    <x v="3"/>
    <n v="2"/>
    <x v="2"/>
    <n v="4941"/>
    <n v="2819"/>
    <n v="6"/>
    <s v="Y"/>
    <s v="No"/>
    <n v="20"/>
    <n v="4"/>
    <n v="4"/>
    <n v="80"/>
    <n v="2"/>
    <n v="7"/>
    <n v="0"/>
    <n v="3"/>
    <n v="3"/>
    <n v="2"/>
    <n v="0"/>
    <n v="1"/>
  </r>
  <r>
    <n v="51"/>
    <x v="1"/>
    <x v="0"/>
    <s v="Travel_Frequently"/>
    <n v="1150"/>
    <x v="1"/>
    <n v="8"/>
    <n v="4"/>
    <x v="0"/>
    <n v="1"/>
    <n v="179"/>
    <n v="1"/>
    <x v="1"/>
    <n v="53"/>
    <n v="1"/>
    <n v="3"/>
    <x v="3"/>
    <n v="4"/>
    <x v="0"/>
    <n v="10650"/>
    <n v="25150"/>
    <n v="2"/>
    <s v="Y"/>
    <s v="No"/>
    <n v="15"/>
    <n v="3"/>
    <n v="4"/>
    <n v="80"/>
    <n v="0"/>
    <n v="18"/>
    <n v="2"/>
    <n v="3"/>
    <n v="4"/>
    <n v="2"/>
    <n v="0"/>
    <n v="3"/>
  </r>
  <r>
    <n v="39"/>
    <x v="0"/>
    <x v="1"/>
    <s v="Travel_Rarely"/>
    <n v="1329"/>
    <x v="0"/>
    <n v="4"/>
    <n v="4"/>
    <x v="0"/>
    <n v="1"/>
    <n v="182"/>
    <n v="4"/>
    <x v="0"/>
    <n v="47"/>
    <n v="2"/>
    <n v="2"/>
    <x v="0"/>
    <n v="3"/>
    <x v="1"/>
    <n v="5902"/>
    <n v="14590"/>
    <n v="4"/>
    <s v="Y"/>
    <s v="No"/>
    <n v="14"/>
    <n v="3"/>
    <n v="3"/>
    <n v="80"/>
    <n v="1"/>
    <n v="17"/>
    <n v="1"/>
    <n v="4"/>
    <n v="15"/>
    <n v="11"/>
    <n v="5"/>
    <n v="9"/>
  </r>
  <r>
    <n v="25"/>
    <x v="3"/>
    <x v="1"/>
    <s v="Travel_Rarely"/>
    <n v="959"/>
    <x v="0"/>
    <n v="28"/>
    <n v="3"/>
    <x v="0"/>
    <n v="1"/>
    <n v="183"/>
    <n v="1"/>
    <x v="1"/>
    <n v="41"/>
    <n v="2"/>
    <n v="2"/>
    <x v="0"/>
    <n v="3"/>
    <x v="1"/>
    <n v="8639"/>
    <n v="24835"/>
    <n v="2"/>
    <s v="Y"/>
    <s v="No"/>
    <n v="18"/>
    <n v="3"/>
    <n v="4"/>
    <n v="80"/>
    <n v="0"/>
    <n v="6"/>
    <n v="3"/>
    <n v="3"/>
    <n v="2"/>
    <n v="2"/>
    <n v="2"/>
    <n v="2"/>
  </r>
  <r>
    <n v="30"/>
    <x v="2"/>
    <x v="1"/>
    <s v="Travel_Rarely"/>
    <n v="1240"/>
    <x v="2"/>
    <n v="9"/>
    <n v="3"/>
    <x v="5"/>
    <n v="1"/>
    <n v="184"/>
    <n v="3"/>
    <x v="1"/>
    <n v="48"/>
    <n v="3"/>
    <n v="2"/>
    <x v="8"/>
    <n v="4"/>
    <x v="1"/>
    <n v="6347"/>
    <n v="13982"/>
    <n v="0"/>
    <s v="Y"/>
    <s v="Yes"/>
    <n v="19"/>
    <n v="3"/>
    <n v="4"/>
    <n v="80"/>
    <n v="0"/>
    <n v="12"/>
    <n v="2"/>
    <n v="1"/>
    <n v="11"/>
    <n v="9"/>
    <n v="4"/>
    <n v="7"/>
  </r>
  <r>
    <n v="32"/>
    <x v="2"/>
    <x v="0"/>
    <s v="Travel_Rarely"/>
    <n v="1033"/>
    <x v="1"/>
    <n v="9"/>
    <n v="3"/>
    <x v="2"/>
    <n v="1"/>
    <n v="190"/>
    <n v="1"/>
    <x v="0"/>
    <n v="41"/>
    <n v="3"/>
    <n v="1"/>
    <x v="2"/>
    <n v="1"/>
    <x v="0"/>
    <n v="4200"/>
    <n v="10224"/>
    <n v="7"/>
    <s v="Y"/>
    <s v="No"/>
    <n v="22"/>
    <n v="4"/>
    <n v="1"/>
    <n v="80"/>
    <n v="0"/>
    <n v="10"/>
    <n v="2"/>
    <n v="4"/>
    <n v="5"/>
    <n v="4"/>
    <n v="0"/>
    <n v="4"/>
  </r>
  <r>
    <n v="45"/>
    <x v="0"/>
    <x v="1"/>
    <s v="Travel_Rarely"/>
    <n v="1316"/>
    <x v="1"/>
    <n v="29"/>
    <n v="3"/>
    <x v="2"/>
    <n v="1"/>
    <n v="192"/>
    <n v="3"/>
    <x v="1"/>
    <n v="83"/>
    <n v="3"/>
    <n v="1"/>
    <x v="1"/>
    <n v="4"/>
    <x v="0"/>
    <n v="3452"/>
    <n v="9752"/>
    <n v="5"/>
    <s v="Y"/>
    <s v="No"/>
    <n v="13"/>
    <n v="3"/>
    <n v="2"/>
    <n v="80"/>
    <n v="0"/>
    <n v="9"/>
    <n v="2"/>
    <n v="2"/>
    <n v="6"/>
    <n v="5"/>
    <n v="0"/>
    <n v="3"/>
  </r>
  <r>
    <n v="38"/>
    <x v="0"/>
    <x v="1"/>
    <s v="Travel_Rarely"/>
    <n v="364"/>
    <x v="1"/>
    <n v="3"/>
    <n v="5"/>
    <x v="4"/>
    <n v="1"/>
    <n v="193"/>
    <n v="4"/>
    <x v="0"/>
    <n v="32"/>
    <n v="3"/>
    <n v="2"/>
    <x v="1"/>
    <n v="3"/>
    <x v="0"/>
    <n v="4317"/>
    <n v="2302"/>
    <n v="3"/>
    <s v="Y"/>
    <s v="Yes"/>
    <n v="20"/>
    <n v="4"/>
    <n v="2"/>
    <n v="80"/>
    <n v="0"/>
    <n v="19"/>
    <n v="2"/>
    <n v="3"/>
    <n v="3"/>
    <n v="2"/>
    <n v="2"/>
    <n v="2"/>
  </r>
  <r>
    <n v="30"/>
    <x v="2"/>
    <x v="1"/>
    <s v="Travel_Rarely"/>
    <n v="438"/>
    <x v="1"/>
    <n v="18"/>
    <n v="3"/>
    <x v="0"/>
    <n v="1"/>
    <n v="194"/>
    <n v="1"/>
    <x v="0"/>
    <n v="75"/>
    <n v="3"/>
    <n v="1"/>
    <x v="1"/>
    <n v="3"/>
    <x v="0"/>
    <n v="2632"/>
    <n v="23910"/>
    <n v="1"/>
    <s v="Y"/>
    <s v="No"/>
    <n v="14"/>
    <n v="3"/>
    <n v="3"/>
    <n v="80"/>
    <n v="0"/>
    <n v="5"/>
    <n v="4"/>
    <n v="2"/>
    <n v="5"/>
    <n v="4"/>
    <n v="0"/>
    <n v="4"/>
  </r>
  <r>
    <n v="32"/>
    <x v="2"/>
    <x v="1"/>
    <s v="Travel_Frequently"/>
    <n v="689"/>
    <x v="0"/>
    <n v="9"/>
    <n v="2"/>
    <x v="2"/>
    <n v="1"/>
    <n v="195"/>
    <n v="4"/>
    <x v="1"/>
    <n v="35"/>
    <n v="1"/>
    <n v="2"/>
    <x v="0"/>
    <n v="4"/>
    <x v="2"/>
    <n v="4668"/>
    <n v="22812"/>
    <n v="0"/>
    <s v="Y"/>
    <s v="No"/>
    <n v="17"/>
    <n v="3"/>
    <n v="4"/>
    <n v="80"/>
    <n v="3"/>
    <n v="9"/>
    <n v="2"/>
    <n v="4"/>
    <n v="8"/>
    <n v="7"/>
    <n v="0"/>
    <n v="7"/>
  </r>
  <r>
    <n v="30"/>
    <x v="2"/>
    <x v="1"/>
    <s v="Travel_Rarely"/>
    <n v="201"/>
    <x v="1"/>
    <n v="5"/>
    <n v="3"/>
    <x v="4"/>
    <n v="1"/>
    <n v="197"/>
    <n v="4"/>
    <x v="0"/>
    <n v="84"/>
    <n v="3"/>
    <n v="1"/>
    <x v="1"/>
    <n v="1"/>
    <x v="2"/>
    <n v="3204"/>
    <n v="10415"/>
    <n v="5"/>
    <s v="Y"/>
    <s v="No"/>
    <n v="14"/>
    <n v="3"/>
    <n v="4"/>
    <n v="80"/>
    <n v="1"/>
    <n v="8"/>
    <n v="3"/>
    <n v="3"/>
    <n v="3"/>
    <n v="2"/>
    <n v="2"/>
    <n v="2"/>
  </r>
  <r>
    <n v="30"/>
    <x v="2"/>
    <x v="1"/>
    <s v="Travel_Rarely"/>
    <n v="1427"/>
    <x v="1"/>
    <n v="2"/>
    <n v="1"/>
    <x v="2"/>
    <n v="1"/>
    <n v="198"/>
    <n v="2"/>
    <x v="1"/>
    <n v="35"/>
    <n v="2"/>
    <n v="1"/>
    <x v="2"/>
    <n v="4"/>
    <x v="0"/>
    <n v="2720"/>
    <n v="11162"/>
    <n v="0"/>
    <s v="Y"/>
    <s v="No"/>
    <n v="13"/>
    <n v="3"/>
    <n v="4"/>
    <n v="80"/>
    <n v="0"/>
    <n v="6"/>
    <n v="3"/>
    <n v="3"/>
    <n v="5"/>
    <n v="3"/>
    <n v="1"/>
    <n v="2"/>
  </r>
  <r>
    <n v="41"/>
    <x v="0"/>
    <x v="1"/>
    <s v="Travel_Frequently"/>
    <n v="857"/>
    <x v="1"/>
    <n v="10"/>
    <n v="3"/>
    <x v="0"/>
    <n v="1"/>
    <n v="199"/>
    <n v="4"/>
    <x v="1"/>
    <n v="91"/>
    <n v="2"/>
    <n v="4"/>
    <x v="5"/>
    <n v="1"/>
    <x v="2"/>
    <n v="17181"/>
    <n v="12888"/>
    <n v="4"/>
    <s v="Y"/>
    <s v="No"/>
    <n v="13"/>
    <n v="3"/>
    <n v="2"/>
    <n v="80"/>
    <n v="1"/>
    <n v="21"/>
    <n v="2"/>
    <n v="2"/>
    <n v="7"/>
    <n v="6"/>
    <n v="7"/>
    <n v="7"/>
  </r>
  <r>
    <n v="41"/>
    <x v="0"/>
    <x v="1"/>
    <s v="Travel_Rarely"/>
    <n v="933"/>
    <x v="1"/>
    <n v="9"/>
    <n v="4"/>
    <x v="0"/>
    <n v="1"/>
    <n v="200"/>
    <n v="3"/>
    <x v="1"/>
    <n v="94"/>
    <n v="3"/>
    <n v="1"/>
    <x v="2"/>
    <n v="1"/>
    <x v="1"/>
    <n v="2238"/>
    <n v="6961"/>
    <n v="2"/>
    <s v="Y"/>
    <s v="No"/>
    <n v="21"/>
    <n v="4"/>
    <n v="4"/>
    <n v="80"/>
    <n v="1"/>
    <n v="7"/>
    <n v="2"/>
    <n v="3"/>
    <n v="5"/>
    <n v="0"/>
    <n v="1"/>
    <n v="4"/>
  </r>
  <r>
    <n v="19"/>
    <x v="3"/>
    <x v="1"/>
    <s v="Travel_Rarely"/>
    <n v="1181"/>
    <x v="1"/>
    <n v="3"/>
    <n v="1"/>
    <x v="2"/>
    <n v="1"/>
    <n v="201"/>
    <n v="2"/>
    <x v="0"/>
    <n v="79"/>
    <n v="3"/>
    <n v="1"/>
    <x v="2"/>
    <n v="2"/>
    <x v="0"/>
    <n v="1483"/>
    <n v="16102"/>
    <n v="1"/>
    <s v="Y"/>
    <s v="No"/>
    <n v="14"/>
    <n v="3"/>
    <n v="4"/>
    <n v="80"/>
    <n v="0"/>
    <n v="1"/>
    <n v="3"/>
    <n v="3"/>
    <n v="1"/>
    <n v="0"/>
    <n v="0"/>
    <n v="0"/>
  </r>
  <r>
    <n v="40"/>
    <x v="0"/>
    <x v="1"/>
    <s v="Travel_Frequently"/>
    <n v="1395"/>
    <x v="1"/>
    <n v="26"/>
    <n v="3"/>
    <x v="2"/>
    <n v="1"/>
    <n v="202"/>
    <n v="2"/>
    <x v="0"/>
    <n v="54"/>
    <n v="3"/>
    <n v="2"/>
    <x v="1"/>
    <n v="2"/>
    <x v="2"/>
    <n v="5605"/>
    <n v="8504"/>
    <n v="1"/>
    <s v="Y"/>
    <s v="No"/>
    <n v="11"/>
    <n v="3"/>
    <n v="1"/>
    <n v="80"/>
    <n v="1"/>
    <n v="20"/>
    <n v="2"/>
    <n v="3"/>
    <n v="20"/>
    <n v="7"/>
    <n v="2"/>
    <n v="13"/>
  </r>
  <r>
    <n v="35"/>
    <x v="2"/>
    <x v="1"/>
    <s v="Travel_Rarely"/>
    <n v="662"/>
    <x v="0"/>
    <n v="1"/>
    <n v="5"/>
    <x v="3"/>
    <n v="1"/>
    <n v="204"/>
    <n v="3"/>
    <x v="1"/>
    <n v="94"/>
    <n v="3"/>
    <n v="3"/>
    <x v="0"/>
    <n v="2"/>
    <x v="1"/>
    <n v="7295"/>
    <n v="11439"/>
    <n v="1"/>
    <s v="Y"/>
    <s v="No"/>
    <n v="13"/>
    <n v="3"/>
    <n v="1"/>
    <n v="80"/>
    <n v="2"/>
    <n v="10"/>
    <n v="3"/>
    <n v="3"/>
    <n v="10"/>
    <n v="8"/>
    <n v="0"/>
    <n v="6"/>
  </r>
  <r>
    <n v="53"/>
    <x v="1"/>
    <x v="1"/>
    <s v="Travel_Rarely"/>
    <n v="1436"/>
    <x v="0"/>
    <n v="6"/>
    <n v="2"/>
    <x v="3"/>
    <n v="1"/>
    <n v="205"/>
    <n v="2"/>
    <x v="1"/>
    <n v="34"/>
    <n v="3"/>
    <n v="2"/>
    <x v="6"/>
    <n v="3"/>
    <x v="1"/>
    <n v="2306"/>
    <n v="16047"/>
    <n v="2"/>
    <s v="Y"/>
    <s v="Yes"/>
    <n v="20"/>
    <n v="4"/>
    <n v="4"/>
    <n v="80"/>
    <n v="1"/>
    <n v="13"/>
    <n v="3"/>
    <n v="1"/>
    <n v="7"/>
    <n v="7"/>
    <n v="4"/>
    <n v="5"/>
  </r>
  <r>
    <n v="45"/>
    <x v="0"/>
    <x v="1"/>
    <s v="Travel_Rarely"/>
    <n v="194"/>
    <x v="1"/>
    <n v="9"/>
    <n v="3"/>
    <x v="0"/>
    <n v="1"/>
    <n v="206"/>
    <n v="2"/>
    <x v="1"/>
    <n v="60"/>
    <n v="3"/>
    <n v="2"/>
    <x v="2"/>
    <n v="2"/>
    <x v="2"/>
    <n v="2348"/>
    <n v="10901"/>
    <n v="8"/>
    <s v="Y"/>
    <s v="No"/>
    <n v="18"/>
    <n v="3"/>
    <n v="3"/>
    <n v="80"/>
    <n v="1"/>
    <n v="20"/>
    <n v="2"/>
    <n v="1"/>
    <n v="17"/>
    <n v="9"/>
    <n v="0"/>
    <n v="15"/>
  </r>
  <r>
    <n v="32"/>
    <x v="2"/>
    <x v="1"/>
    <s v="Travel_Frequently"/>
    <n v="967"/>
    <x v="0"/>
    <n v="8"/>
    <n v="3"/>
    <x v="3"/>
    <n v="1"/>
    <n v="207"/>
    <n v="2"/>
    <x v="0"/>
    <n v="43"/>
    <n v="3"/>
    <n v="3"/>
    <x v="0"/>
    <n v="4"/>
    <x v="0"/>
    <n v="8998"/>
    <n v="15589"/>
    <n v="1"/>
    <s v="Y"/>
    <s v="No"/>
    <n v="14"/>
    <n v="3"/>
    <n v="4"/>
    <n v="80"/>
    <n v="0"/>
    <n v="9"/>
    <n v="2"/>
    <n v="3"/>
    <n v="9"/>
    <n v="8"/>
    <n v="3"/>
    <n v="7"/>
  </r>
  <r>
    <n v="29"/>
    <x v="2"/>
    <x v="1"/>
    <s v="Non-Travel"/>
    <n v="1496"/>
    <x v="1"/>
    <n v="1"/>
    <n v="1"/>
    <x v="4"/>
    <n v="1"/>
    <n v="208"/>
    <n v="4"/>
    <x v="1"/>
    <n v="41"/>
    <n v="3"/>
    <n v="2"/>
    <x v="3"/>
    <n v="3"/>
    <x v="1"/>
    <n v="4319"/>
    <n v="26283"/>
    <n v="1"/>
    <s v="Y"/>
    <s v="No"/>
    <n v="13"/>
    <n v="3"/>
    <n v="1"/>
    <n v="80"/>
    <n v="1"/>
    <n v="10"/>
    <n v="1"/>
    <n v="3"/>
    <n v="10"/>
    <n v="7"/>
    <n v="0"/>
    <n v="9"/>
  </r>
  <r>
    <n v="51"/>
    <x v="1"/>
    <x v="1"/>
    <s v="Travel_Rarely"/>
    <n v="1169"/>
    <x v="1"/>
    <n v="7"/>
    <n v="4"/>
    <x v="2"/>
    <n v="1"/>
    <n v="211"/>
    <n v="2"/>
    <x v="1"/>
    <n v="34"/>
    <n v="2"/>
    <n v="2"/>
    <x v="3"/>
    <n v="3"/>
    <x v="1"/>
    <n v="6132"/>
    <n v="13983"/>
    <n v="2"/>
    <s v="Y"/>
    <s v="No"/>
    <n v="17"/>
    <n v="3"/>
    <n v="3"/>
    <n v="80"/>
    <n v="0"/>
    <n v="10"/>
    <n v="2"/>
    <n v="3"/>
    <n v="1"/>
    <n v="0"/>
    <n v="0"/>
    <n v="0"/>
  </r>
  <r>
    <n v="58"/>
    <x v="1"/>
    <x v="1"/>
    <s v="Travel_Rarely"/>
    <n v="1145"/>
    <x v="1"/>
    <n v="9"/>
    <n v="3"/>
    <x v="2"/>
    <n v="1"/>
    <n v="214"/>
    <n v="2"/>
    <x v="0"/>
    <n v="75"/>
    <n v="2"/>
    <n v="1"/>
    <x v="1"/>
    <n v="2"/>
    <x v="1"/>
    <n v="3346"/>
    <n v="11873"/>
    <n v="4"/>
    <s v="Y"/>
    <s v="Yes"/>
    <n v="20"/>
    <n v="4"/>
    <n v="2"/>
    <n v="80"/>
    <n v="1"/>
    <n v="9"/>
    <n v="3"/>
    <n v="2"/>
    <n v="1"/>
    <n v="0"/>
    <n v="0"/>
    <n v="0"/>
  </r>
  <r>
    <n v="40"/>
    <x v="0"/>
    <x v="1"/>
    <s v="Travel_Rarely"/>
    <n v="630"/>
    <x v="0"/>
    <n v="4"/>
    <n v="4"/>
    <x v="3"/>
    <n v="1"/>
    <n v="215"/>
    <n v="3"/>
    <x v="1"/>
    <n v="67"/>
    <n v="2"/>
    <n v="3"/>
    <x v="0"/>
    <n v="4"/>
    <x v="1"/>
    <n v="10855"/>
    <n v="8552"/>
    <n v="7"/>
    <s v="Y"/>
    <s v="No"/>
    <n v="11"/>
    <n v="3"/>
    <n v="1"/>
    <n v="80"/>
    <n v="1"/>
    <n v="15"/>
    <n v="2"/>
    <n v="2"/>
    <n v="12"/>
    <n v="11"/>
    <n v="2"/>
    <n v="11"/>
  </r>
  <r>
    <n v="34"/>
    <x v="2"/>
    <x v="1"/>
    <s v="Travel_Frequently"/>
    <n v="303"/>
    <x v="0"/>
    <n v="2"/>
    <n v="4"/>
    <x v="3"/>
    <n v="1"/>
    <n v="216"/>
    <n v="3"/>
    <x v="0"/>
    <n v="75"/>
    <n v="3"/>
    <n v="1"/>
    <x v="6"/>
    <n v="3"/>
    <x v="1"/>
    <n v="2231"/>
    <n v="11314"/>
    <n v="6"/>
    <s v="Y"/>
    <s v="No"/>
    <n v="18"/>
    <n v="3"/>
    <n v="4"/>
    <n v="80"/>
    <n v="1"/>
    <n v="6"/>
    <n v="3"/>
    <n v="3"/>
    <n v="4"/>
    <n v="3"/>
    <n v="1"/>
    <n v="2"/>
  </r>
  <r>
    <n v="22"/>
    <x v="3"/>
    <x v="1"/>
    <s v="Travel_Rarely"/>
    <n v="1256"/>
    <x v="1"/>
    <n v="19"/>
    <n v="1"/>
    <x v="2"/>
    <n v="1"/>
    <n v="217"/>
    <n v="3"/>
    <x v="1"/>
    <n v="80"/>
    <n v="3"/>
    <n v="1"/>
    <x v="1"/>
    <n v="4"/>
    <x v="1"/>
    <n v="2323"/>
    <n v="11992"/>
    <n v="1"/>
    <s v="Y"/>
    <s v="No"/>
    <n v="24"/>
    <n v="4"/>
    <n v="1"/>
    <n v="80"/>
    <n v="2"/>
    <n v="2"/>
    <n v="6"/>
    <n v="3"/>
    <n v="2"/>
    <n v="2"/>
    <n v="2"/>
    <n v="2"/>
  </r>
  <r>
    <n v="27"/>
    <x v="2"/>
    <x v="1"/>
    <s v="Non-Travel"/>
    <n v="691"/>
    <x v="1"/>
    <n v="9"/>
    <n v="3"/>
    <x v="2"/>
    <n v="1"/>
    <n v="218"/>
    <n v="4"/>
    <x v="1"/>
    <n v="57"/>
    <n v="3"/>
    <n v="1"/>
    <x v="1"/>
    <n v="2"/>
    <x v="2"/>
    <n v="2024"/>
    <n v="5970"/>
    <n v="6"/>
    <s v="Y"/>
    <s v="No"/>
    <n v="18"/>
    <n v="3"/>
    <n v="4"/>
    <n v="80"/>
    <n v="1"/>
    <n v="6"/>
    <n v="1"/>
    <n v="1"/>
    <n v="2"/>
    <n v="2"/>
    <n v="2"/>
    <n v="2"/>
  </r>
  <r>
    <n v="28"/>
    <x v="2"/>
    <x v="1"/>
    <s v="Travel_Rarely"/>
    <n v="440"/>
    <x v="1"/>
    <n v="21"/>
    <n v="3"/>
    <x v="2"/>
    <n v="1"/>
    <n v="221"/>
    <n v="3"/>
    <x v="1"/>
    <n v="42"/>
    <n v="3"/>
    <n v="1"/>
    <x v="1"/>
    <n v="4"/>
    <x v="1"/>
    <n v="2713"/>
    <n v="6672"/>
    <n v="1"/>
    <s v="Y"/>
    <s v="No"/>
    <n v="11"/>
    <n v="3"/>
    <n v="3"/>
    <n v="80"/>
    <n v="1"/>
    <n v="5"/>
    <n v="2"/>
    <n v="1"/>
    <n v="5"/>
    <n v="2"/>
    <n v="0"/>
    <n v="2"/>
  </r>
  <r>
    <n v="57"/>
    <x v="1"/>
    <x v="1"/>
    <s v="Travel_Rarely"/>
    <n v="334"/>
    <x v="1"/>
    <n v="24"/>
    <n v="2"/>
    <x v="0"/>
    <n v="1"/>
    <n v="223"/>
    <n v="3"/>
    <x v="1"/>
    <n v="83"/>
    <n v="4"/>
    <n v="3"/>
    <x v="4"/>
    <n v="4"/>
    <x v="2"/>
    <n v="9439"/>
    <n v="23402"/>
    <n v="3"/>
    <s v="Y"/>
    <s v="Yes"/>
    <n v="16"/>
    <n v="3"/>
    <n v="2"/>
    <n v="80"/>
    <n v="1"/>
    <n v="12"/>
    <n v="2"/>
    <n v="1"/>
    <n v="5"/>
    <n v="3"/>
    <n v="1"/>
    <n v="4"/>
  </r>
  <r>
    <n v="27"/>
    <x v="2"/>
    <x v="1"/>
    <s v="Non-Travel"/>
    <n v="1450"/>
    <x v="1"/>
    <n v="3"/>
    <n v="3"/>
    <x v="2"/>
    <n v="1"/>
    <n v="224"/>
    <n v="3"/>
    <x v="1"/>
    <n v="79"/>
    <n v="2"/>
    <n v="1"/>
    <x v="1"/>
    <n v="3"/>
    <x v="2"/>
    <n v="2566"/>
    <n v="25326"/>
    <n v="1"/>
    <s v="Y"/>
    <s v="Yes"/>
    <n v="15"/>
    <n v="3"/>
    <n v="4"/>
    <n v="80"/>
    <n v="1"/>
    <n v="1"/>
    <n v="2"/>
    <n v="2"/>
    <n v="1"/>
    <n v="1"/>
    <n v="0"/>
    <n v="1"/>
  </r>
  <r>
    <n v="50"/>
    <x v="1"/>
    <x v="1"/>
    <s v="Travel_Rarely"/>
    <n v="1452"/>
    <x v="1"/>
    <n v="11"/>
    <n v="3"/>
    <x v="0"/>
    <n v="1"/>
    <n v="226"/>
    <n v="3"/>
    <x v="0"/>
    <n v="53"/>
    <n v="3"/>
    <n v="5"/>
    <x v="5"/>
    <n v="2"/>
    <x v="0"/>
    <n v="19926"/>
    <n v="17053"/>
    <n v="3"/>
    <s v="Y"/>
    <s v="No"/>
    <n v="15"/>
    <n v="3"/>
    <n v="2"/>
    <n v="80"/>
    <n v="0"/>
    <n v="21"/>
    <n v="5"/>
    <n v="3"/>
    <n v="5"/>
    <n v="4"/>
    <n v="4"/>
    <n v="4"/>
  </r>
  <r>
    <n v="41"/>
    <x v="0"/>
    <x v="1"/>
    <s v="Travel_Rarely"/>
    <n v="465"/>
    <x v="1"/>
    <n v="14"/>
    <n v="3"/>
    <x v="0"/>
    <n v="1"/>
    <n v="227"/>
    <n v="1"/>
    <x v="1"/>
    <n v="56"/>
    <n v="3"/>
    <n v="1"/>
    <x v="1"/>
    <n v="3"/>
    <x v="2"/>
    <n v="2451"/>
    <n v="4609"/>
    <n v="4"/>
    <s v="Y"/>
    <s v="No"/>
    <n v="12"/>
    <n v="3"/>
    <n v="1"/>
    <n v="80"/>
    <n v="1"/>
    <n v="13"/>
    <n v="2"/>
    <n v="3"/>
    <n v="9"/>
    <n v="8"/>
    <n v="1"/>
    <n v="8"/>
  </r>
  <r>
    <n v="30"/>
    <x v="2"/>
    <x v="1"/>
    <s v="Travel_Rarely"/>
    <n v="1339"/>
    <x v="0"/>
    <n v="5"/>
    <n v="3"/>
    <x v="0"/>
    <n v="1"/>
    <n v="228"/>
    <n v="2"/>
    <x v="0"/>
    <n v="41"/>
    <n v="3"/>
    <n v="3"/>
    <x v="0"/>
    <n v="4"/>
    <x v="1"/>
    <n v="9419"/>
    <n v="8053"/>
    <n v="2"/>
    <s v="Y"/>
    <s v="No"/>
    <n v="12"/>
    <n v="3"/>
    <n v="3"/>
    <n v="80"/>
    <n v="1"/>
    <n v="12"/>
    <n v="2"/>
    <n v="3"/>
    <n v="10"/>
    <n v="9"/>
    <n v="7"/>
    <n v="4"/>
  </r>
  <r>
    <n v="38"/>
    <x v="0"/>
    <x v="1"/>
    <s v="Travel_Rarely"/>
    <n v="702"/>
    <x v="0"/>
    <n v="1"/>
    <n v="4"/>
    <x v="0"/>
    <n v="1"/>
    <n v="230"/>
    <n v="1"/>
    <x v="0"/>
    <n v="59"/>
    <n v="2"/>
    <n v="2"/>
    <x v="0"/>
    <n v="4"/>
    <x v="0"/>
    <n v="8686"/>
    <n v="12930"/>
    <n v="4"/>
    <s v="Y"/>
    <s v="No"/>
    <n v="22"/>
    <n v="4"/>
    <n v="3"/>
    <n v="80"/>
    <n v="0"/>
    <n v="12"/>
    <n v="2"/>
    <n v="4"/>
    <n v="8"/>
    <n v="3"/>
    <n v="0"/>
    <n v="7"/>
  </r>
  <r>
    <n v="32"/>
    <x v="2"/>
    <x v="1"/>
    <s v="Travel_Rarely"/>
    <n v="120"/>
    <x v="1"/>
    <n v="6"/>
    <n v="5"/>
    <x v="0"/>
    <n v="1"/>
    <n v="231"/>
    <n v="3"/>
    <x v="1"/>
    <n v="43"/>
    <n v="3"/>
    <n v="1"/>
    <x v="1"/>
    <n v="3"/>
    <x v="0"/>
    <n v="3038"/>
    <n v="12430"/>
    <n v="3"/>
    <s v="Y"/>
    <s v="No"/>
    <n v="20"/>
    <n v="4"/>
    <n v="1"/>
    <n v="80"/>
    <n v="0"/>
    <n v="8"/>
    <n v="2"/>
    <n v="3"/>
    <n v="5"/>
    <n v="4"/>
    <n v="1"/>
    <n v="4"/>
  </r>
  <r>
    <n v="27"/>
    <x v="2"/>
    <x v="1"/>
    <s v="Travel_Rarely"/>
    <n v="1157"/>
    <x v="1"/>
    <n v="17"/>
    <n v="3"/>
    <x v="4"/>
    <n v="1"/>
    <n v="233"/>
    <n v="3"/>
    <x v="1"/>
    <n v="51"/>
    <n v="3"/>
    <n v="1"/>
    <x v="1"/>
    <n v="2"/>
    <x v="1"/>
    <n v="3058"/>
    <n v="13364"/>
    <n v="0"/>
    <s v="Y"/>
    <s v="Yes"/>
    <n v="16"/>
    <n v="3"/>
    <n v="4"/>
    <n v="80"/>
    <n v="1"/>
    <n v="6"/>
    <n v="3"/>
    <n v="2"/>
    <n v="5"/>
    <n v="2"/>
    <n v="1"/>
    <n v="1"/>
  </r>
  <r>
    <n v="19"/>
    <x v="3"/>
    <x v="0"/>
    <s v="Travel_Frequently"/>
    <n v="602"/>
    <x v="0"/>
    <n v="1"/>
    <n v="1"/>
    <x v="4"/>
    <n v="1"/>
    <n v="235"/>
    <n v="3"/>
    <x v="0"/>
    <n v="100"/>
    <n v="1"/>
    <n v="1"/>
    <x v="6"/>
    <n v="1"/>
    <x v="0"/>
    <n v="2325"/>
    <n v="20989"/>
    <n v="0"/>
    <s v="Y"/>
    <s v="No"/>
    <n v="21"/>
    <n v="4"/>
    <n v="1"/>
    <n v="80"/>
    <n v="0"/>
    <n v="1"/>
    <n v="5"/>
    <n v="4"/>
    <n v="0"/>
    <n v="0"/>
    <n v="0"/>
    <n v="0"/>
  </r>
  <r>
    <n v="36"/>
    <x v="0"/>
    <x v="1"/>
    <s v="Travel_Frequently"/>
    <n v="1480"/>
    <x v="1"/>
    <n v="3"/>
    <n v="2"/>
    <x v="2"/>
    <n v="1"/>
    <n v="238"/>
    <n v="4"/>
    <x v="1"/>
    <n v="30"/>
    <n v="3"/>
    <n v="1"/>
    <x v="2"/>
    <n v="2"/>
    <x v="0"/>
    <n v="2088"/>
    <n v="15062"/>
    <n v="4"/>
    <s v="Y"/>
    <s v="No"/>
    <n v="12"/>
    <n v="3"/>
    <n v="3"/>
    <n v="80"/>
    <n v="0"/>
    <n v="13"/>
    <n v="3"/>
    <n v="2"/>
    <n v="8"/>
    <n v="7"/>
    <n v="7"/>
    <n v="2"/>
  </r>
  <r>
    <n v="30"/>
    <x v="2"/>
    <x v="1"/>
    <s v="Non-Travel"/>
    <n v="111"/>
    <x v="1"/>
    <n v="9"/>
    <n v="3"/>
    <x v="2"/>
    <n v="1"/>
    <n v="239"/>
    <n v="3"/>
    <x v="1"/>
    <n v="66"/>
    <n v="3"/>
    <n v="2"/>
    <x v="2"/>
    <n v="1"/>
    <x v="2"/>
    <n v="3072"/>
    <n v="11012"/>
    <n v="1"/>
    <s v="Y"/>
    <s v="No"/>
    <n v="11"/>
    <n v="3"/>
    <n v="3"/>
    <n v="80"/>
    <n v="2"/>
    <n v="12"/>
    <n v="4"/>
    <n v="3"/>
    <n v="12"/>
    <n v="9"/>
    <n v="6"/>
    <n v="10"/>
  </r>
  <r>
    <n v="45"/>
    <x v="0"/>
    <x v="1"/>
    <s v="Travel_Rarely"/>
    <n v="1268"/>
    <x v="0"/>
    <n v="4"/>
    <n v="2"/>
    <x v="0"/>
    <n v="1"/>
    <n v="240"/>
    <n v="3"/>
    <x v="0"/>
    <n v="30"/>
    <n v="3"/>
    <n v="2"/>
    <x v="0"/>
    <n v="1"/>
    <x v="2"/>
    <n v="5006"/>
    <n v="6319"/>
    <n v="4"/>
    <s v="Y"/>
    <s v="Yes"/>
    <n v="11"/>
    <n v="3"/>
    <n v="1"/>
    <n v="80"/>
    <n v="1"/>
    <n v="9"/>
    <n v="3"/>
    <n v="4"/>
    <n v="5"/>
    <n v="4"/>
    <n v="0"/>
    <n v="3"/>
  </r>
  <r>
    <n v="56"/>
    <x v="1"/>
    <x v="1"/>
    <s v="Travel_Rarely"/>
    <n v="713"/>
    <x v="1"/>
    <n v="8"/>
    <n v="3"/>
    <x v="0"/>
    <n v="1"/>
    <n v="241"/>
    <n v="3"/>
    <x v="0"/>
    <n v="67"/>
    <n v="3"/>
    <n v="1"/>
    <x v="1"/>
    <n v="1"/>
    <x v="2"/>
    <n v="4257"/>
    <n v="13939"/>
    <n v="4"/>
    <s v="Y"/>
    <s v="Yes"/>
    <n v="18"/>
    <n v="3"/>
    <n v="3"/>
    <n v="80"/>
    <n v="1"/>
    <n v="19"/>
    <n v="3"/>
    <n v="3"/>
    <n v="2"/>
    <n v="2"/>
    <n v="2"/>
    <n v="2"/>
  </r>
  <r>
    <n v="33"/>
    <x v="2"/>
    <x v="1"/>
    <s v="Travel_Rarely"/>
    <n v="134"/>
    <x v="1"/>
    <n v="2"/>
    <n v="3"/>
    <x v="0"/>
    <n v="1"/>
    <n v="242"/>
    <n v="3"/>
    <x v="1"/>
    <n v="90"/>
    <n v="3"/>
    <n v="1"/>
    <x v="1"/>
    <n v="4"/>
    <x v="0"/>
    <n v="2500"/>
    <n v="10515"/>
    <n v="0"/>
    <s v="Y"/>
    <s v="No"/>
    <n v="14"/>
    <n v="3"/>
    <n v="1"/>
    <n v="80"/>
    <n v="0"/>
    <n v="4"/>
    <n v="2"/>
    <n v="4"/>
    <n v="3"/>
    <n v="1"/>
    <n v="0"/>
    <n v="2"/>
  </r>
  <r>
    <n v="19"/>
    <x v="3"/>
    <x v="0"/>
    <s v="Travel_Rarely"/>
    <n v="303"/>
    <x v="1"/>
    <n v="2"/>
    <n v="3"/>
    <x v="0"/>
    <n v="1"/>
    <n v="243"/>
    <n v="2"/>
    <x v="1"/>
    <n v="47"/>
    <n v="2"/>
    <n v="1"/>
    <x v="2"/>
    <n v="4"/>
    <x v="0"/>
    <n v="1102"/>
    <n v="9241"/>
    <n v="1"/>
    <s v="Y"/>
    <s v="No"/>
    <n v="22"/>
    <n v="4"/>
    <n v="3"/>
    <n v="80"/>
    <n v="0"/>
    <n v="1"/>
    <n v="3"/>
    <n v="2"/>
    <n v="1"/>
    <n v="0"/>
    <n v="1"/>
    <n v="0"/>
  </r>
  <r>
    <n v="46"/>
    <x v="1"/>
    <x v="1"/>
    <s v="Travel_Rarely"/>
    <n v="526"/>
    <x v="0"/>
    <n v="1"/>
    <n v="2"/>
    <x v="3"/>
    <n v="1"/>
    <n v="244"/>
    <n v="2"/>
    <x v="0"/>
    <n v="92"/>
    <n v="3"/>
    <n v="3"/>
    <x v="0"/>
    <n v="1"/>
    <x v="2"/>
    <n v="10453"/>
    <n v="2137"/>
    <n v="1"/>
    <s v="Y"/>
    <s v="No"/>
    <n v="25"/>
    <n v="4"/>
    <n v="3"/>
    <n v="80"/>
    <n v="3"/>
    <n v="24"/>
    <n v="2"/>
    <n v="3"/>
    <n v="24"/>
    <n v="13"/>
    <n v="15"/>
    <n v="7"/>
  </r>
  <r>
    <n v="38"/>
    <x v="0"/>
    <x v="1"/>
    <s v="Travel_Rarely"/>
    <n v="1380"/>
    <x v="1"/>
    <n v="9"/>
    <n v="2"/>
    <x v="0"/>
    <n v="1"/>
    <n v="245"/>
    <n v="3"/>
    <x v="0"/>
    <n v="75"/>
    <n v="3"/>
    <n v="1"/>
    <x v="2"/>
    <n v="4"/>
    <x v="0"/>
    <n v="2288"/>
    <n v="6319"/>
    <n v="1"/>
    <s v="Y"/>
    <s v="No"/>
    <n v="12"/>
    <n v="3"/>
    <n v="3"/>
    <n v="80"/>
    <n v="0"/>
    <n v="2"/>
    <n v="3"/>
    <n v="3"/>
    <n v="2"/>
    <n v="2"/>
    <n v="2"/>
    <n v="1"/>
  </r>
  <r>
    <n v="31"/>
    <x v="2"/>
    <x v="1"/>
    <s v="Travel_Rarely"/>
    <n v="140"/>
    <x v="1"/>
    <n v="12"/>
    <n v="1"/>
    <x v="2"/>
    <n v="1"/>
    <n v="246"/>
    <n v="3"/>
    <x v="0"/>
    <n v="95"/>
    <n v="3"/>
    <n v="1"/>
    <x v="1"/>
    <n v="4"/>
    <x v="1"/>
    <n v="3929"/>
    <n v="6984"/>
    <n v="8"/>
    <s v="Y"/>
    <s v="Yes"/>
    <n v="23"/>
    <n v="4"/>
    <n v="3"/>
    <n v="80"/>
    <n v="1"/>
    <n v="7"/>
    <n v="0"/>
    <n v="3"/>
    <n v="4"/>
    <n v="2"/>
    <n v="0"/>
    <n v="2"/>
  </r>
  <r>
    <n v="34"/>
    <x v="2"/>
    <x v="1"/>
    <s v="Travel_Rarely"/>
    <n v="629"/>
    <x v="1"/>
    <n v="27"/>
    <n v="2"/>
    <x v="2"/>
    <n v="1"/>
    <n v="247"/>
    <n v="4"/>
    <x v="0"/>
    <n v="95"/>
    <n v="3"/>
    <n v="1"/>
    <x v="1"/>
    <n v="2"/>
    <x v="0"/>
    <n v="2311"/>
    <n v="5711"/>
    <n v="2"/>
    <s v="Y"/>
    <s v="No"/>
    <n v="15"/>
    <n v="3"/>
    <n v="4"/>
    <n v="80"/>
    <n v="0"/>
    <n v="9"/>
    <n v="3"/>
    <n v="3"/>
    <n v="3"/>
    <n v="2"/>
    <n v="1"/>
    <n v="2"/>
  </r>
  <r>
    <n v="41"/>
    <x v="0"/>
    <x v="0"/>
    <s v="Travel_Rarely"/>
    <n v="1356"/>
    <x v="0"/>
    <n v="20"/>
    <n v="2"/>
    <x v="3"/>
    <n v="1"/>
    <n v="248"/>
    <n v="2"/>
    <x v="0"/>
    <n v="70"/>
    <n v="3"/>
    <n v="1"/>
    <x v="6"/>
    <n v="2"/>
    <x v="0"/>
    <n v="3140"/>
    <n v="21728"/>
    <n v="1"/>
    <s v="Y"/>
    <s v="Yes"/>
    <n v="22"/>
    <n v="4"/>
    <n v="4"/>
    <n v="80"/>
    <n v="0"/>
    <n v="4"/>
    <n v="5"/>
    <n v="2"/>
    <n v="4"/>
    <n v="3"/>
    <n v="0"/>
    <n v="2"/>
  </r>
  <r>
    <n v="50"/>
    <x v="1"/>
    <x v="1"/>
    <s v="Travel_Rarely"/>
    <n v="328"/>
    <x v="1"/>
    <n v="1"/>
    <n v="3"/>
    <x v="2"/>
    <n v="1"/>
    <n v="249"/>
    <n v="3"/>
    <x v="1"/>
    <n v="86"/>
    <n v="2"/>
    <n v="1"/>
    <x v="2"/>
    <n v="3"/>
    <x v="1"/>
    <n v="3690"/>
    <n v="3425"/>
    <n v="2"/>
    <s v="Y"/>
    <s v="No"/>
    <n v="15"/>
    <n v="3"/>
    <n v="4"/>
    <n v="80"/>
    <n v="1"/>
    <n v="5"/>
    <n v="2"/>
    <n v="2"/>
    <n v="3"/>
    <n v="2"/>
    <n v="0"/>
    <n v="2"/>
  </r>
  <r>
    <n v="53"/>
    <x v="1"/>
    <x v="1"/>
    <s v="Travel_Rarely"/>
    <n v="1084"/>
    <x v="1"/>
    <n v="13"/>
    <n v="2"/>
    <x v="2"/>
    <n v="1"/>
    <n v="250"/>
    <n v="4"/>
    <x v="0"/>
    <n v="57"/>
    <n v="4"/>
    <n v="2"/>
    <x v="3"/>
    <n v="1"/>
    <x v="2"/>
    <n v="4450"/>
    <n v="26250"/>
    <n v="1"/>
    <s v="Y"/>
    <s v="No"/>
    <n v="11"/>
    <n v="3"/>
    <n v="3"/>
    <n v="80"/>
    <n v="2"/>
    <n v="5"/>
    <n v="3"/>
    <n v="3"/>
    <n v="4"/>
    <n v="2"/>
    <n v="1"/>
    <n v="3"/>
  </r>
  <r>
    <n v="33"/>
    <x v="2"/>
    <x v="1"/>
    <s v="Travel_Rarely"/>
    <n v="931"/>
    <x v="1"/>
    <n v="14"/>
    <n v="3"/>
    <x v="2"/>
    <n v="1"/>
    <n v="252"/>
    <n v="4"/>
    <x v="0"/>
    <n v="72"/>
    <n v="3"/>
    <n v="1"/>
    <x v="1"/>
    <n v="2"/>
    <x v="1"/>
    <n v="2756"/>
    <n v="4673"/>
    <n v="1"/>
    <s v="Y"/>
    <s v="No"/>
    <n v="13"/>
    <n v="3"/>
    <n v="4"/>
    <n v="80"/>
    <n v="1"/>
    <n v="8"/>
    <n v="5"/>
    <n v="3"/>
    <n v="8"/>
    <n v="7"/>
    <n v="1"/>
    <n v="6"/>
  </r>
  <r>
    <n v="40"/>
    <x v="0"/>
    <x v="1"/>
    <s v="Travel_Rarely"/>
    <n v="989"/>
    <x v="1"/>
    <n v="4"/>
    <n v="1"/>
    <x v="2"/>
    <n v="1"/>
    <n v="253"/>
    <n v="4"/>
    <x v="0"/>
    <n v="46"/>
    <n v="3"/>
    <n v="5"/>
    <x v="5"/>
    <n v="3"/>
    <x v="1"/>
    <n v="19033"/>
    <n v="6499"/>
    <n v="1"/>
    <s v="Y"/>
    <s v="No"/>
    <n v="14"/>
    <n v="3"/>
    <n v="2"/>
    <n v="80"/>
    <n v="1"/>
    <n v="21"/>
    <n v="2"/>
    <n v="3"/>
    <n v="20"/>
    <n v="8"/>
    <n v="9"/>
    <n v="9"/>
  </r>
  <r>
    <n v="55"/>
    <x v="1"/>
    <x v="1"/>
    <s v="Travel_Rarely"/>
    <n v="692"/>
    <x v="1"/>
    <n v="14"/>
    <n v="4"/>
    <x v="2"/>
    <n v="1"/>
    <n v="254"/>
    <n v="3"/>
    <x v="1"/>
    <n v="61"/>
    <n v="4"/>
    <n v="5"/>
    <x v="7"/>
    <n v="2"/>
    <x v="0"/>
    <n v="18722"/>
    <n v="13339"/>
    <n v="8"/>
    <s v="Y"/>
    <s v="No"/>
    <n v="11"/>
    <n v="3"/>
    <n v="4"/>
    <n v="80"/>
    <n v="0"/>
    <n v="36"/>
    <n v="3"/>
    <n v="3"/>
    <n v="24"/>
    <n v="15"/>
    <n v="2"/>
    <n v="15"/>
  </r>
  <r>
    <n v="34"/>
    <x v="2"/>
    <x v="1"/>
    <s v="Travel_Frequently"/>
    <n v="1069"/>
    <x v="1"/>
    <n v="2"/>
    <n v="1"/>
    <x v="0"/>
    <n v="1"/>
    <n v="256"/>
    <n v="4"/>
    <x v="1"/>
    <n v="45"/>
    <n v="2"/>
    <n v="2"/>
    <x v="3"/>
    <n v="3"/>
    <x v="1"/>
    <n v="9547"/>
    <n v="14074"/>
    <n v="1"/>
    <s v="Y"/>
    <s v="No"/>
    <n v="17"/>
    <n v="3"/>
    <n v="3"/>
    <n v="80"/>
    <n v="0"/>
    <n v="10"/>
    <n v="2"/>
    <n v="2"/>
    <n v="10"/>
    <n v="9"/>
    <n v="1"/>
    <n v="9"/>
  </r>
  <r>
    <n v="51"/>
    <x v="1"/>
    <x v="1"/>
    <s v="Travel_Rarely"/>
    <n v="313"/>
    <x v="1"/>
    <n v="3"/>
    <n v="3"/>
    <x v="2"/>
    <n v="1"/>
    <n v="258"/>
    <n v="4"/>
    <x v="0"/>
    <n v="98"/>
    <n v="3"/>
    <n v="4"/>
    <x v="4"/>
    <n v="2"/>
    <x v="0"/>
    <n v="13734"/>
    <n v="7192"/>
    <n v="3"/>
    <s v="Y"/>
    <s v="No"/>
    <n v="18"/>
    <n v="3"/>
    <n v="3"/>
    <n v="80"/>
    <n v="0"/>
    <n v="21"/>
    <n v="6"/>
    <n v="3"/>
    <n v="7"/>
    <n v="7"/>
    <n v="1"/>
    <n v="0"/>
  </r>
  <r>
    <n v="52"/>
    <x v="1"/>
    <x v="1"/>
    <s v="Travel_Rarely"/>
    <n v="699"/>
    <x v="1"/>
    <n v="1"/>
    <n v="4"/>
    <x v="0"/>
    <n v="1"/>
    <n v="259"/>
    <n v="3"/>
    <x v="1"/>
    <n v="65"/>
    <n v="2"/>
    <n v="5"/>
    <x v="5"/>
    <n v="3"/>
    <x v="1"/>
    <n v="19999"/>
    <n v="5678"/>
    <n v="0"/>
    <s v="Y"/>
    <s v="No"/>
    <n v="14"/>
    <n v="3"/>
    <n v="1"/>
    <n v="80"/>
    <n v="1"/>
    <n v="34"/>
    <n v="5"/>
    <n v="3"/>
    <n v="33"/>
    <n v="18"/>
    <n v="11"/>
    <n v="9"/>
  </r>
  <r>
    <n v="27"/>
    <x v="2"/>
    <x v="1"/>
    <s v="Travel_Rarely"/>
    <n v="894"/>
    <x v="1"/>
    <n v="9"/>
    <n v="3"/>
    <x v="2"/>
    <n v="1"/>
    <n v="260"/>
    <n v="4"/>
    <x v="0"/>
    <n v="99"/>
    <n v="3"/>
    <n v="1"/>
    <x v="1"/>
    <n v="2"/>
    <x v="0"/>
    <n v="2279"/>
    <n v="11781"/>
    <n v="1"/>
    <s v="Y"/>
    <s v="No"/>
    <n v="16"/>
    <n v="3"/>
    <n v="4"/>
    <n v="80"/>
    <n v="0"/>
    <n v="7"/>
    <n v="2"/>
    <n v="2"/>
    <n v="7"/>
    <n v="7"/>
    <n v="0"/>
    <n v="3"/>
  </r>
  <r>
    <n v="35"/>
    <x v="2"/>
    <x v="0"/>
    <s v="Travel_Rarely"/>
    <n v="556"/>
    <x v="1"/>
    <n v="23"/>
    <n v="2"/>
    <x v="0"/>
    <n v="1"/>
    <n v="261"/>
    <n v="2"/>
    <x v="1"/>
    <n v="50"/>
    <n v="2"/>
    <n v="2"/>
    <x v="3"/>
    <n v="3"/>
    <x v="1"/>
    <n v="5916"/>
    <n v="15497"/>
    <n v="3"/>
    <s v="Y"/>
    <s v="Yes"/>
    <n v="13"/>
    <n v="3"/>
    <n v="1"/>
    <n v="80"/>
    <n v="0"/>
    <n v="8"/>
    <n v="1"/>
    <n v="3"/>
    <n v="1"/>
    <n v="0"/>
    <n v="0"/>
    <n v="1"/>
  </r>
  <r>
    <n v="43"/>
    <x v="0"/>
    <x v="1"/>
    <s v="Non-Travel"/>
    <n v="1344"/>
    <x v="1"/>
    <n v="7"/>
    <n v="3"/>
    <x v="2"/>
    <n v="1"/>
    <n v="262"/>
    <n v="4"/>
    <x v="1"/>
    <n v="37"/>
    <n v="4"/>
    <n v="1"/>
    <x v="1"/>
    <n v="4"/>
    <x v="2"/>
    <n v="2089"/>
    <n v="5228"/>
    <n v="4"/>
    <s v="Y"/>
    <s v="No"/>
    <n v="14"/>
    <n v="3"/>
    <n v="4"/>
    <n v="80"/>
    <n v="3"/>
    <n v="7"/>
    <n v="3"/>
    <n v="4"/>
    <n v="5"/>
    <n v="4"/>
    <n v="2"/>
    <n v="2"/>
  </r>
  <r>
    <n v="45"/>
    <x v="0"/>
    <x v="1"/>
    <s v="Non-Travel"/>
    <n v="1195"/>
    <x v="1"/>
    <n v="2"/>
    <n v="2"/>
    <x v="2"/>
    <n v="1"/>
    <n v="264"/>
    <n v="1"/>
    <x v="1"/>
    <n v="65"/>
    <n v="2"/>
    <n v="4"/>
    <x v="5"/>
    <n v="4"/>
    <x v="1"/>
    <n v="16792"/>
    <n v="20462"/>
    <n v="9"/>
    <s v="Y"/>
    <s v="No"/>
    <n v="23"/>
    <n v="4"/>
    <n v="4"/>
    <n v="80"/>
    <n v="1"/>
    <n v="22"/>
    <n v="1"/>
    <n v="3"/>
    <n v="20"/>
    <n v="8"/>
    <n v="11"/>
    <n v="8"/>
  </r>
  <r>
    <n v="37"/>
    <x v="0"/>
    <x v="1"/>
    <s v="Travel_Rarely"/>
    <n v="290"/>
    <x v="1"/>
    <n v="21"/>
    <n v="3"/>
    <x v="0"/>
    <n v="1"/>
    <n v="267"/>
    <n v="2"/>
    <x v="1"/>
    <n v="65"/>
    <n v="4"/>
    <n v="1"/>
    <x v="1"/>
    <n v="1"/>
    <x v="1"/>
    <n v="3564"/>
    <n v="22977"/>
    <n v="1"/>
    <s v="Y"/>
    <s v="Yes"/>
    <n v="12"/>
    <n v="3"/>
    <n v="1"/>
    <n v="80"/>
    <n v="1"/>
    <n v="8"/>
    <n v="3"/>
    <n v="2"/>
    <n v="8"/>
    <n v="7"/>
    <n v="1"/>
    <n v="7"/>
  </r>
  <r>
    <n v="35"/>
    <x v="2"/>
    <x v="1"/>
    <s v="Travel_Frequently"/>
    <n v="138"/>
    <x v="1"/>
    <n v="2"/>
    <n v="3"/>
    <x v="2"/>
    <n v="1"/>
    <n v="269"/>
    <n v="2"/>
    <x v="0"/>
    <n v="37"/>
    <n v="3"/>
    <n v="2"/>
    <x v="2"/>
    <n v="2"/>
    <x v="0"/>
    <n v="4425"/>
    <n v="15986"/>
    <n v="5"/>
    <s v="Y"/>
    <s v="No"/>
    <n v="11"/>
    <n v="3"/>
    <n v="4"/>
    <n v="80"/>
    <n v="0"/>
    <n v="10"/>
    <n v="5"/>
    <n v="3"/>
    <n v="6"/>
    <n v="2"/>
    <n v="1"/>
    <n v="2"/>
  </r>
  <r>
    <n v="42"/>
    <x v="0"/>
    <x v="1"/>
    <s v="Non-Travel"/>
    <n v="926"/>
    <x v="1"/>
    <n v="21"/>
    <n v="2"/>
    <x v="2"/>
    <n v="1"/>
    <n v="270"/>
    <n v="3"/>
    <x v="0"/>
    <n v="36"/>
    <n v="3"/>
    <n v="2"/>
    <x v="3"/>
    <n v="3"/>
    <x v="2"/>
    <n v="5265"/>
    <n v="16439"/>
    <n v="2"/>
    <s v="Y"/>
    <s v="No"/>
    <n v="16"/>
    <n v="3"/>
    <n v="2"/>
    <n v="80"/>
    <n v="1"/>
    <n v="11"/>
    <n v="5"/>
    <n v="3"/>
    <n v="5"/>
    <n v="3"/>
    <n v="0"/>
    <n v="2"/>
  </r>
  <r>
    <n v="38"/>
    <x v="0"/>
    <x v="1"/>
    <s v="Travel_Rarely"/>
    <n v="1261"/>
    <x v="1"/>
    <n v="2"/>
    <n v="4"/>
    <x v="0"/>
    <n v="1"/>
    <n v="271"/>
    <n v="4"/>
    <x v="1"/>
    <n v="88"/>
    <n v="3"/>
    <n v="2"/>
    <x v="3"/>
    <n v="3"/>
    <x v="1"/>
    <n v="6553"/>
    <n v="7259"/>
    <n v="9"/>
    <s v="Y"/>
    <s v="No"/>
    <n v="14"/>
    <n v="3"/>
    <n v="2"/>
    <n v="80"/>
    <n v="0"/>
    <n v="14"/>
    <n v="3"/>
    <n v="3"/>
    <n v="1"/>
    <n v="0"/>
    <n v="0"/>
    <n v="0"/>
  </r>
  <r>
    <n v="38"/>
    <x v="0"/>
    <x v="1"/>
    <s v="Travel_Rarely"/>
    <n v="1084"/>
    <x v="1"/>
    <n v="29"/>
    <n v="3"/>
    <x v="4"/>
    <n v="1"/>
    <n v="273"/>
    <n v="4"/>
    <x v="1"/>
    <n v="54"/>
    <n v="3"/>
    <n v="2"/>
    <x v="3"/>
    <n v="4"/>
    <x v="1"/>
    <n v="6261"/>
    <n v="4185"/>
    <n v="3"/>
    <s v="Y"/>
    <s v="No"/>
    <n v="18"/>
    <n v="3"/>
    <n v="1"/>
    <n v="80"/>
    <n v="1"/>
    <n v="9"/>
    <n v="3"/>
    <n v="1"/>
    <n v="7"/>
    <n v="7"/>
    <n v="1"/>
    <n v="7"/>
  </r>
  <r>
    <n v="27"/>
    <x v="2"/>
    <x v="1"/>
    <s v="Travel_Frequently"/>
    <n v="472"/>
    <x v="1"/>
    <n v="1"/>
    <n v="1"/>
    <x v="4"/>
    <n v="1"/>
    <n v="274"/>
    <n v="3"/>
    <x v="1"/>
    <n v="60"/>
    <n v="2"/>
    <n v="2"/>
    <x v="3"/>
    <n v="1"/>
    <x v="1"/>
    <n v="4298"/>
    <n v="9679"/>
    <n v="5"/>
    <s v="Y"/>
    <s v="No"/>
    <n v="19"/>
    <n v="3"/>
    <n v="3"/>
    <n v="80"/>
    <n v="1"/>
    <n v="6"/>
    <n v="1"/>
    <n v="3"/>
    <n v="2"/>
    <n v="2"/>
    <n v="2"/>
    <n v="0"/>
  </r>
  <r>
    <n v="49"/>
    <x v="1"/>
    <x v="1"/>
    <s v="Non-Travel"/>
    <n v="1002"/>
    <x v="1"/>
    <n v="18"/>
    <n v="4"/>
    <x v="0"/>
    <n v="1"/>
    <n v="275"/>
    <n v="4"/>
    <x v="1"/>
    <n v="92"/>
    <n v="3"/>
    <n v="2"/>
    <x v="3"/>
    <n v="4"/>
    <x v="2"/>
    <n v="6804"/>
    <n v="23793"/>
    <n v="1"/>
    <s v="Y"/>
    <s v="Yes"/>
    <n v="15"/>
    <n v="3"/>
    <n v="1"/>
    <n v="80"/>
    <n v="2"/>
    <n v="7"/>
    <n v="0"/>
    <n v="3"/>
    <n v="7"/>
    <n v="7"/>
    <n v="1"/>
    <n v="7"/>
  </r>
  <r>
    <n v="34"/>
    <x v="2"/>
    <x v="1"/>
    <s v="Travel_Frequently"/>
    <n v="878"/>
    <x v="1"/>
    <n v="10"/>
    <n v="4"/>
    <x v="2"/>
    <n v="1"/>
    <n v="277"/>
    <n v="4"/>
    <x v="1"/>
    <n v="43"/>
    <n v="3"/>
    <n v="1"/>
    <x v="1"/>
    <n v="3"/>
    <x v="2"/>
    <n v="3815"/>
    <n v="5972"/>
    <n v="1"/>
    <s v="Y"/>
    <s v="Yes"/>
    <n v="17"/>
    <n v="3"/>
    <n v="4"/>
    <n v="80"/>
    <n v="1"/>
    <n v="5"/>
    <n v="4"/>
    <n v="4"/>
    <n v="5"/>
    <n v="3"/>
    <n v="2"/>
    <n v="0"/>
  </r>
  <r>
    <n v="40"/>
    <x v="0"/>
    <x v="1"/>
    <s v="Travel_Rarely"/>
    <n v="905"/>
    <x v="1"/>
    <n v="19"/>
    <n v="2"/>
    <x v="2"/>
    <n v="1"/>
    <n v="281"/>
    <n v="3"/>
    <x v="1"/>
    <n v="99"/>
    <n v="3"/>
    <n v="2"/>
    <x v="2"/>
    <n v="4"/>
    <x v="1"/>
    <n v="2741"/>
    <n v="16523"/>
    <n v="8"/>
    <s v="Y"/>
    <s v="Yes"/>
    <n v="15"/>
    <n v="3"/>
    <n v="3"/>
    <n v="80"/>
    <n v="1"/>
    <n v="15"/>
    <n v="2"/>
    <n v="4"/>
    <n v="7"/>
    <n v="2"/>
    <n v="3"/>
    <n v="7"/>
  </r>
  <r>
    <n v="38"/>
    <x v="0"/>
    <x v="0"/>
    <s v="Travel_Rarely"/>
    <n v="1180"/>
    <x v="1"/>
    <n v="29"/>
    <n v="1"/>
    <x v="2"/>
    <n v="1"/>
    <n v="282"/>
    <n v="2"/>
    <x v="1"/>
    <n v="70"/>
    <n v="3"/>
    <n v="2"/>
    <x v="4"/>
    <n v="1"/>
    <x v="1"/>
    <n v="6673"/>
    <n v="11354"/>
    <n v="7"/>
    <s v="Y"/>
    <s v="Yes"/>
    <n v="19"/>
    <n v="3"/>
    <n v="2"/>
    <n v="80"/>
    <n v="0"/>
    <n v="17"/>
    <n v="2"/>
    <n v="3"/>
    <n v="1"/>
    <n v="0"/>
    <n v="0"/>
    <n v="0"/>
  </r>
  <r>
    <n v="29"/>
    <x v="2"/>
    <x v="0"/>
    <s v="Travel_Rarely"/>
    <n v="121"/>
    <x v="0"/>
    <n v="27"/>
    <n v="3"/>
    <x v="3"/>
    <n v="1"/>
    <n v="283"/>
    <n v="2"/>
    <x v="0"/>
    <n v="35"/>
    <n v="3"/>
    <n v="3"/>
    <x v="0"/>
    <n v="4"/>
    <x v="1"/>
    <n v="7639"/>
    <n v="24525"/>
    <n v="1"/>
    <s v="Y"/>
    <s v="No"/>
    <n v="22"/>
    <n v="4"/>
    <n v="4"/>
    <n v="80"/>
    <n v="3"/>
    <n v="10"/>
    <n v="3"/>
    <n v="2"/>
    <n v="10"/>
    <n v="4"/>
    <n v="1"/>
    <n v="9"/>
  </r>
  <r>
    <n v="22"/>
    <x v="3"/>
    <x v="1"/>
    <s v="Travel_Rarely"/>
    <n v="1136"/>
    <x v="1"/>
    <n v="5"/>
    <n v="3"/>
    <x v="0"/>
    <n v="1"/>
    <n v="284"/>
    <n v="4"/>
    <x v="1"/>
    <n v="60"/>
    <n v="4"/>
    <n v="1"/>
    <x v="1"/>
    <n v="2"/>
    <x v="2"/>
    <n v="2328"/>
    <n v="12392"/>
    <n v="1"/>
    <s v="Y"/>
    <s v="Yes"/>
    <n v="16"/>
    <n v="3"/>
    <n v="1"/>
    <n v="80"/>
    <n v="1"/>
    <n v="4"/>
    <n v="2"/>
    <n v="2"/>
    <n v="4"/>
    <n v="2"/>
    <n v="2"/>
    <n v="2"/>
  </r>
  <r>
    <n v="36"/>
    <x v="0"/>
    <x v="1"/>
    <s v="Travel_Frequently"/>
    <n v="635"/>
    <x v="1"/>
    <n v="18"/>
    <n v="1"/>
    <x v="2"/>
    <n v="1"/>
    <n v="286"/>
    <n v="2"/>
    <x v="0"/>
    <n v="73"/>
    <n v="3"/>
    <n v="1"/>
    <x v="2"/>
    <n v="4"/>
    <x v="0"/>
    <n v="2153"/>
    <n v="7703"/>
    <n v="1"/>
    <s v="Y"/>
    <s v="No"/>
    <n v="13"/>
    <n v="3"/>
    <n v="1"/>
    <n v="80"/>
    <n v="0"/>
    <n v="8"/>
    <n v="2"/>
    <n v="3"/>
    <n v="8"/>
    <n v="1"/>
    <n v="1"/>
    <n v="7"/>
  </r>
  <r>
    <n v="40"/>
    <x v="0"/>
    <x v="1"/>
    <s v="Non-Travel"/>
    <n v="1151"/>
    <x v="1"/>
    <n v="9"/>
    <n v="5"/>
    <x v="0"/>
    <n v="1"/>
    <n v="287"/>
    <n v="4"/>
    <x v="1"/>
    <n v="63"/>
    <n v="2"/>
    <n v="2"/>
    <x v="4"/>
    <n v="4"/>
    <x v="1"/>
    <n v="4876"/>
    <n v="14242"/>
    <n v="9"/>
    <s v="Y"/>
    <s v="No"/>
    <n v="14"/>
    <n v="3"/>
    <n v="4"/>
    <n v="80"/>
    <n v="1"/>
    <n v="5"/>
    <n v="5"/>
    <n v="1"/>
    <n v="3"/>
    <n v="2"/>
    <n v="0"/>
    <n v="2"/>
  </r>
  <r>
    <n v="46"/>
    <x v="1"/>
    <x v="1"/>
    <s v="Travel_Rarely"/>
    <n v="644"/>
    <x v="1"/>
    <n v="1"/>
    <n v="4"/>
    <x v="2"/>
    <n v="1"/>
    <n v="288"/>
    <n v="4"/>
    <x v="1"/>
    <n v="97"/>
    <n v="3"/>
    <n v="3"/>
    <x v="4"/>
    <n v="1"/>
    <x v="2"/>
    <n v="9396"/>
    <n v="12368"/>
    <n v="7"/>
    <s v="Y"/>
    <s v="No"/>
    <n v="16"/>
    <n v="3"/>
    <n v="3"/>
    <n v="80"/>
    <n v="1"/>
    <n v="17"/>
    <n v="3"/>
    <n v="3"/>
    <n v="4"/>
    <n v="2"/>
    <n v="0"/>
    <n v="3"/>
  </r>
  <r>
    <n v="32"/>
    <x v="2"/>
    <x v="0"/>
    <s v="Travel_Rarely"/>
    <n v="1045"/>
    <x v="0"/>
    <n v="4"/>
    <n v="4"/>
    <x v="2"/>
    <n v="1"/>
    <n v="291"/>
    <n v="4"/>
    <x v="1"/>
    <n v="32"/>
    <n v="1"/>
    <n v="3"/>
    <x v="0"/>
    <n v="4"/>
    <x v="1"/>
    <n v="10400"/>
    <n v="25812"/>
    <n v="1"/>
    <s v="Y"/>
    <s v="No"/>
    <n v="11"/>
    <n v="3"/>
    <n v="3"/>
    <n v="80"/>
    <n v="0"/>
    <n v="14"/>
    <n v="2"/>
    <n v="2"/>
    <n v="14"/>
    <n v="8"/>
    <n v="9"/>
    <n v="8"/>
  </r>
  <r>
    <n v="30"/>
    <x v="2"/>
    <x v="1"/>
    <s v="Non-Travel"/>
    <n v="829"/>
    <x v="1"/>
    <n v="1"/>
    <n v="1"/>
    <x v="0"/>
    <n v="1"/>
    <n v="292"/>
    <n v="3"/>
    <x v="1"/>
    <n v="88"/>
    <n v="2"/>
    <n v="3"/>
    <x v="3"/>
    <n v="3"/>
    <x v="0"/>
    <n v="8474"/>
    <n v="20925"/>
    <n v="1"/>
    <s v="Y"/>
    <s v="No"/>
    <n v="22"/>
    <n v="4"/>
    <n v="3"/>
    <n v="80"/>
    <n v="0"/>
    <n v="12"/>
    <n v="2"/>
    <n v="3"/>
    <n v="11"/>
    <n v="8"/>
    <n v="5"/>
    <n v="8"/>
  </r>
  <r>
    <n v="27"/>
    <x v="2"/>
    <x v="1"/>
    <s v="Travel_Frequently"/>
    <n v="1242"/>
    <x v="0"/>
    <n v="20"/>
    <n v="3"/>
    <x v="0"/>
    <n v="1"/>
    <n v="293"/>
    <n v="4"/>
    <x v="0"/>
    <n v="90"/>
    <n v="3"/>
    <n v="2"/>
    <x v="0"/>
    <n v="3"/>
    <x v="0"/>
    <n v="9981"/>
    <n v="12916"/>
    <n v="1"/>
    <s v="Y"/>
    <s v="No"/>
    <n v="14"/>
    <n v="3"/>
    <n v="4"/>
    <n v="80"/>
    <n v="0"/>
    <n v="7"/>
    <n v="2"/>
    <n v="3"/>
    <n v="7"/>
    <n v="7"/>
    <n v="0"/>
    <n v="7"/>
  </r>
  <r>
    <n v="51"/>
    <x v="1"/>
    <x v="1"/>
    <s v="Travel_Rarely"/>
    <n v="1469"/>
    <x v="1"/>
    <n v="8"/>
    <n v="4"/>
    <x v="0"/>
    <n v="1"/>
    <n v="296"/>
    <n v="2"/>
    <x v="1"/>
    <n v="81"/>
    <n v="2"/>
    <n v="3"/>
    <x v="7"/>
    <n v="2"/>
    <x v="1"/>
    <n v="12490"/>
    <n v="15736"/>
    <n v="5"/>
    <s v="Y"/>
    <s v="No"/>
    <n v="16"/>
    <n v="3"/>
    <n v="4"/>
    <n v="80"/>
    <n v="2"/>
    <n v="16"/>
    <n v="5"/>
    <n v="1"/>
    <n v="10"/>
    <n v="9"/>
    <n v="4"/>
    <n v="7"/>
  </r>
  <r>
    <n v="30"/>
    <x v="2"/>
    <x v="0"/>
    <s v="Travel_Rarely"/>
    <n v="1005"/>
    <x v="1"/>
    <n v="3"/>
    <n v="3"/>
    <x v="4"/>
    <n v="1"/>
    <n v="297"/>
    <n v="4"/>
    <x v="0"/>
    <n v="88"/>
    <n v="3"/>
    <n v="1"/>
    <x v="1"/>
    <n v="1"/>
    <x v="0"/>
    <n v="2657"/>
    <n v="8556"/>
    <n v="5"/>
    <s v="Y"/>
    <s v="Yes"/>
    <n v="11"/>
    <n v="3"/>
    <n v="3"/>
    <n v="80"/>
    <n v="0"/>
    <n v="8"/>
    <n v="5"/>
    <n v="3"/>
    <n v="5"/>
    <n v="2"/>
    <n v="0"/>
    <n v="4"/>
  </r>
  <r>
    <n v="41"/>
    <x v="0"/>
    <x v="1"/>
    <s v="Travel_Rarely"/>
    <n v="896"/>
    <x v="0"/>
    <n v="6"/>
    <n v="3"/>
    <x v="0"/>
    <n v="1"/>
    <n v="298"/>
    <n v="4"/>
    <x v="0"/>
    <n v="75"/>
    <n v="3"/>
    <n v="3"/>
    <x v="5"/>
    <n v="4"/>
    <x v="0"/>
    <n v="13591"/>
    <n v="14674"/>
    <n v="3"/>
    <s v="Y"/>
    <s v="Yes"/>
    <n v="18"/>
    <n v="3"/>
    <n v="3"/>
    <n v="80"/>
    <n v="0"/>
    <n v="16"/>
    <n v="3"/>
    <n v="3"/>
    <n v="1"/>
    <n v="0"/>
    <n v="0"/>
    <n v="0"/>
  </r>
  <r>
    <n v="30"/>
    <x v="2"/>
    <x v="0"/>
    <s v="Travel_Frequently"/>
    <n v="334"/>
    <x v="0"/>
    <n v="26"/>
    <n v="4"/>
    <x v="3"/>
    <n v="1"/>
    <n v="299"/>
    <n v="3"/>
    <x v="0"/>
    <n v="52"/>
    <n v="2"/>
    <n v="2"/>
    <x v="0"/>
    <n v="1"/>
    <x v="0"/>
    <n v="6696"/>
    <n v="22967"/>
    <n v="5"/>
    <s v="Y"/>
    <s v="No"/>
    <n v="15"/>
    <n v="3"/>
    <n v="3"/>
    <n v="80"/>
    <n v="0"/>
    <n v="9"/>
    <n v="5"/>
    <n v="2"/>
    <n v="6"/>
    <n v="3"/>
    <n v="0"/>
    <n v="1"/>
  </r>
  <r>
    <n v="29"/>
    <x v="2"/>
    <x v="0"/>
    <s v="Travel_Rarely"/>
    <n v="992"/>
    <x v="1"/>
    <n v="1"/>
    <n v="3"/>
    <x v="4"/>
    <n v="1"/>
    <n v="300"/>
    <n v="3"/>
    <x v="1"/>
    <n v="85"/>
    <n v="3"/>
    <n v="1"/>
    <x v="1"/>
    <n v="3"/>
    <x v="0"/>
    <n v="2058"/>
    <n v="19757"/>
    <n v="0"/>
    <s v="Y"/>
    <s v="No"/>
    <n v="14"/>
    <n v="3"/>
    <n v="4"/>
    <n v="80"/>
    <n v="0"/>
    <n v="7"/>
    <n v="1"/>
    <n v="2"/>
    <n v="6"/>
    <n v="2"/>
    <n v="1"/>
    <n v="5"/>
  </r>
  <r>
    <n v="45"/>
    <x v="0"/>
    <x v="1"/>
    <s v="Non-Travel"/>
    <n v="1052"/>
    <x v="0"/>
    <n v="6"/>
    <n v="3"/>
    <x v="2"/>
    <n v="1"/>
    <n v="302"/>
    <n v="4"/>
    <x v="0"/>
    <n v="57"/>
    <n v="2"/>
    <n v="3"/>
    <x v="0"/>
    <n v="4"/>
    <x v="0"/>
    <n v="8865"/>
    <n v="16840"/>
    <n v="6"/>
    <s v="Y"/>
    <s v="No"/>
    <n v="12"/>
    <n v="3"/>
    <n v="4"/>
    <n v="80"/>
    <n v="0"/>
    <n v="23"/>
    <n v="2"/>
    <n v="3"/>
    <n v="19"/>
    <n v="7"/>
    <n v="12"/>
    <n v="8"/>
  </r>
  <r>
    <n v="54"/>
    <x v="1"/>
    <x v="1"/>
    <s v="Travel_Rarely"/>
    <n v="1147"/>
    <x v="0"/>
    <n v="3"/>
    <n v="3"/>
    <x v="3"/>
    <n v="1"/>
    <n v="303"/>
    <n v="4"/>
    <x v="0"/>
    <n v="52"/>
    <n v="3"/>
    <n v="2"/>
    <x v="0"/>
    <n v="1"/>
    <x v="1"/>
    <n v="5940"/>
    <n v="17011"/>
    <n v="2"/>
    <s v="Y"/>
    <s v="No"/>
    <n v="14"/>
    <n v="3"/>
    <n v="4"/>
    <n v="80"/>
    <n v="1"/>
    <n v="16"/>
    <n v="4"/>
    <n v="3"/>
    <n v="6"/>
    <n v="2"/>
    <n v="0"/>
    <n v="5"/>
  </r>
  <r>
    <n v="36"/>
    <x v="0"/>
    <x v="1"/>
    <s v="Travel_Rarely"/>
    <n v="1396"/>
    <x v="1"/>
    <n v="5"/>
    <n v="2"/>
    <x v="0"/>
    <n v="1"/>
    <n v="304"/>
    <n v="4"/>
    <x v="1"/>
    <n v="62"/>
    <n v="3"/>
    <n v="2"/>
    <x v="2"/>
    <n v="2"/>
    <x v="0"/>
    <n v="5914"/>
    <n v="9945"/>
    <n v="8"/>
    <s v="Y"/>
    <s v="No"/>
    <n v="16"/>
    <n v="3"/>
    <n v="4"/>
    <n v="80"/>
    <n v="0"/>
    <n v="16"/>
    <n v="3"/>
    <n v="4"/>
    <n v="13"/>
    <n v="11"/>
    <n v="3"/>
    <n v="7"/>
  </r>
  <r>
    <n v="33"/>
    <x v="2"/>
    <x v="1"/>
    <s v="Travel_Rarely"/>
    <n v="147"/>
    <x v="1"/>
    <n v="4"/>
    <n v="4"/>
    <x v="2"/>
    <n v="1"/>
    <n v="305"/>
    <n v="3"/>
    <x v="0"/>
    <n v="47"/>
    <n v="2"/>
    <n v="1"/>
    <x v="1"/>
    <n v="2"/>
    <x v="1"/>
    <n v="2622"/>
    <n v="13248"/>
    <n v="6"/>
    <s v="Y"/>
    <s v="No"/>
    <n v="21"/>
    <n v="4"/>
    <n v="4"/>
    <n v="80"/>
    <n v="0"/>
    <n v="7"/>
    <n v="3"/>
    <n v="3"/>
    <n v="3"/>
    <n v="2"/>
    <n v="1"/>
    <n v="1"/>
  </r>
  <r>
    <n v="37"/>
    <x v="0"/>
    <x v="1"/>
    <s v="Travel_Frequently"/>
    <n v="663"/>
    <x v="1"/>
    <n v="11"/>
    <n v="3"/>
    <x v="1"/>
    <n v="1"/>
    <n v="306"/>
    <n v="2"/>
    <x v="1"/>
    <n v="47"/>
    <n v="3"/>
    <n v="3"/>
    <x v="7"/>
    <n v="4"/>
    <x v="2"/>
    <n v="12185"/>
    <n v="10056"/>
    <n v="1"/>
    <s v="Y"/>
    <s v="Yes"/>
    <n v="14"/>
    <n v="3"/>
    <n v="3"/>
    <n v="80"/>
    <n v="3"/>
    <n v="10"/>
    <n v="1"/>
    <n v="3"/>
    <n v="10"/>
    <n v="8"/>
    <n v="0"/>
    <n v="7"/>
  </r>
  <r>
    <n v="38"/>
    <x v="0"/>
    <x v="1"/>
    <s v="Travel_Rarely"/>
    <n v="119"/>
    <x v="0"/>
    <n v="3"/>
    <n v="3"/>
    <x v="0"/>
    <n v="1"/>
    <n v="307"/>
    <n v="1"/>
    <x v="1"/>
    <n v="76"/>
    <n v="3"/>
    <n v="3"/>
    <x v="0"/>
    <n v="3"/>
    <x v="2"/>
    <n v="10609"/>
    <n v="9647"/>
    <n v="0"/>
    <s v="Y"/>
    <s v="No"/>
    <n v="12"/>
    <n v="3"/>
    <n v="3"/>
    <n v="80"/>
    <n v="2"/>
    <n v="17"/>
    <n v="6"/>
    <n v="2"/>
    <n v="16"/>
    <n v="10"/>
    <n v="5"/>
    <n v="13"/>
  </r>
  <r>
    <n v="31"/>
    <x v="2"/>
    <x v="1"/>
    <s v="Non-Travel"/>
    <n v="979"/>
    <x v="1"/>
    <n v="1"/>
    <n v="4"/>
    <x v="2"/>
    <n v="1"/>
    <n v="308"/>
    <n v="3"/>
    <x v="1"/>
    <n v="90"/>
    <n v="1"/>
    <n v="2"/>
    <x v="3"/>
    <n v="3"/>
    <x v="1"/>
    <n v="4345"/>
    <n v="4381"/>
    <n v="0"/>
    <s v="Y"/>
    <s v="No"/>
    <n v="12"/>
    <n v="3"/>
    <n v="4"/>
    <n v="80"/>
    <n v="1"/>
    <n v="6"/>
    <n v="2"/>
    <n v="3"/>
    <n v="5"/>
    <n v="4"/>
    <n v="1"/>
    <n v="4"/>
  </r>
  <r>
    <n v="59"/>
    <x v="1"/>
    <x v="1"/>
    <s v="Travel_Rarely"/>
    <n v="142"/>
    <x v="1"/>
    <n v="3"/>
    <n v="3"/>
    <x v="0"/>
    <n v="1"/>
    <n v="309"/>
    <n v="3"/>
    <x v="1"/>
    <n v="70"/>
    <n v="2"/>
    <n v="1"/>
    <x v="1"/>
    <n v="4"/>
    <x v="1"/>
    <n v="2177"/>
    <n v="8456"/>
    <n v="3"/>
    <s v="Y"/>
    <s v="No"/>
    <n v="17"/>
    <n v="3"/>
    <n v="1"/>
    <n v="80"/>
    <n v="1"/>
    <n v="7"/>
    <n v="6"/>
    <n v="3"/>
    <n v="1"/>
    <n v="0"/>
    <n v="0"/>
    <n v="0"/>
  </r>
  <r>
    <n v="37"/>
    <x v="0"/>
    <x v="1"/>
    <s v="Travel_Frequently"/>
    <n v="319"/>
    <x v="0"/>
    <n v="4"/>
    <n v="4"/>
    <x v="3"/>
    <n v="1"/>
    <n v="311"/>
    <n v="1"/>
    <x v="1"/>
    <n v="41"/>
    <n v="3"/>
    <n v="1"/>
    <x v="6"/>
    <n v="4"/>
    <x v="2"/>
    <n v="2793"/>
    <n v="2539"/>
    <n v="4"/>
    <s v="Y"/>
    <s v="No"/>
    <n v="17"/>
    <n v="3"/>
    <n v="3"/>
    <n v="80"/>
    <n v="1"/>
    <n v="13"/>
    <n v="2"/>
    <n v="3"/>
    <n v="9"/>
    <n v="8"/>
    <n v="5"/>
    <n v="8"/>
  </r>
  <r>
    <n v="29"/>
    <x v="2"/>
    <x v="1"/>
    <s v="Travel_Frequently"/>
    <n v="1413"/>
    <x v="0"/>
    <n v="1"/>
    <n v="1"/>
    <x v="2"/>
    <n v="1"/>
    <n v="312"/>
    <n v="2"/>
    <x v="0"/>
    <n v="42"/>
    <n v="3"/>
    <n v="3"/>
    <x v="0"/>
    <n v="4"/>
    <x v="1"/>
    <n v="7918"/>
    <n v="6599"/>
    <n v="1"/>
    <s v="Y"/>
    <s v="No"/>
    <n v="14"/>
    <n v="3"/>
    <n v="4"/>
    <n v="80"/>
    <n v="1"/>
    <n v="11"/>
    <n v="5"/>
    <n v="3"/>
    <n v="11"/>
    <n v="10"/>
    <n v="4"/>
    <n v="1"/>
  </r>
  <r>
    <n v="35"/>
    <x v="2"/>
    <x v="1"/>
    <s v="Travel_Frequently"/>
    <n v="944"/>
    <x v="0"/>
    <n v="1"/>
    <n v="3"/>
    <x v="3"/>
    <n v="1"/>
    <n v="314"/>
    <n v="3"/>
    <x v="0"/>
    <n v="92"/>
    <n v="3"/>
    <n v="3"/>
    <x v="0"/>
    <n v="3"/>
    <x v="0"/>
    <n v="8789"/>
    <n v="9096"/>
    <n v="1"/>
    <s v="Y"/>
    <s v="No"/>
    <n v="14"/>
    <n v="3"/>
    <n v="1"/>
    <n v="80"/>
    <n v="0"/>
    <n v="10"/>
    <n v="3"/>
    <n v="4"/>
    <n v="10"/>
    <n v="7"/>
    <n v="0"/>
    <n v="8"/>
  </r>
  <r>
    <n v="29"/>
    <x v="2"/>
    <x v="0"/>
    <s v="Travel_Rarely"/>
    <n v="896"/>
    <x v="1"/>
    <n v="18"/>
    <n v="1"/>
    <x v="2"/>
    <n v="1"/>
    <n v="315"/>
    <n v="3"/>
    <x v="1"/>
    <n v="86"/>
    <n v="2"/>
    <n v="1"/>
    <x v="1"/>
    <n v="4"/>
    <x v="0"/>
    <n v="2389"/>
    <n v="14961"/>
    <n v="1"/>
    <s v="Y"/>
    <s v="Yes"/>
    <n v="13"/>
    <n v="3"/>
    <n v="3"/>
    <n v="80"/>
    <n v="0"/>
    <n v="4"/>
    <n v="3"/>
    <n v="2"/>
    <n v="4"/>
    <n v="3"/>
    <n v="0"/>
    <n v="1"/>
  </r>
  <r>
    <n v="52"/>
    <x v="1"/>
    <x v="1"/>
    <s v="Travel_Rarely"/>
    <n v="1323"/>
    <x v="1"/>
    <n v="2"/>
    <n v="3"/>
    <x v="0"/>
    <n v="1"/>
    <n v="316"/>
    <n v="3"/>
    <x v="0"/>
    <n v="89"/>
    <n v="2"/>
    <n v="1"/>
    <x v="2"/>
    <n v="4"/>
    <x v="0"/>
    <n v="3212"/>
    <n v="3300"/>
    <n v="7"/>
    <s v="Y"/>
    <s v="No"/>
    <n v="15"/>
    <n v="3"/>
    <n v="2"/>
    <n v="80"/>
    <n v="0"/>
    <n v="6"/>
    <n v="3"/>
    <n v="2"/>
    <n v="2"/>
    <n v="2"/>
    <n v="2"/>
    <n v="2"/>
  </r>
  <r>
    <n v="42"/>
    <x v="0"/>
    <x v="1"/>
    <s v="Travel_Rarely"/>
    <n v="532"/>
    <x v="1"/>
    <n v="4"/>
    <n v="2"/>
    <x v="4"/>
    <n v="1"/>
    <n v="319"/>
    <n v="3"/>
    <x v="1"/>
    <n v="58"/>
    <n v="3"/>
    <n v="5"/>
    <x v="5"/>
    <n v="4"/>
    <x v="1"/>
    <n v="19232"/>
    <n v="4933"/>
    <n v="1"/>
    <s v="Y"/>
    <s v="No"/>
    <n v="11"/>
    <n v="3"/>
    <n v="4"/>
    <n v="80"/>
    <n v="0"/>
    <n v="22"/>
    <n v="3"/>
    <n v="3"/>
    <n v="22"/>
    <n v="17"/>
    <n v="11"/>
    <n v="15"/>
  </r>
  <r>
    <n v="59"/>
    <x v="1"/>
    <x v="1"/>
    <s v="Travel_Rarely"/>
    <n v="818"/>
    <x v="2"/>
    <n v="6"/>
    <n v="2"/>
    <x v="2"/>
    <n v="1"/>
    <n v="321"/>
    <n v="2"/>
    <x v="1"/>
    <n v="52"/>
    <n v="3"/>
    <n v="1"/>
    <x v="8"/>
    <n v="3"/>
    <x v="1"/>
    <n v="2267"/>
    <n v="25657"/>
    <n v="8"/>
    <s v="Y"/>
    <s v="No"/>
    <n v="17"/>
    <n v="3"/>
    <n v="4"/>
    <n v="80"/>
    <n v="0"/>
    <n v="7"/>
    <n v="2"/>
    <n v="2"/>
    <n v="2"/>
    <n v="2"/>
    <n v="2"/>
    <n v="2"/>
  </r>
  <r>
    <n v="50"/>
    <x v="1"/>
    <x v="1"/>
    <s v="Travel_Rarely"/>
    <n v="854"/>
    <x v="0"/>
    <n v="1"/>
    <n v="4"/>
    <x v="2"/>
    <n v="1"/>
    <n v="323"/>
    <n v="4"/>
    <x v="0"/>
    <n v="68"/>
    <n v="3"/>
    <n v="5"/>
    <x v="5"/>
    <n v="4"/>
    <x v="2"/>
    <n v="19517"/>
    <n v="24118"/>
    <n v="3"/>
    <s v="Y"/>
    <s v="No"/>
    <n v="11"/>
    <n v="3"/>
    <n v="3"/>
    <n v="80"/>
    <n v="1"/>
    <n v="32"/>
    <n v="3"/>
    <n v="2"/>
    <n v="7"/>
    <n v="0"/>
    <n v="0"/>
    <n v="6"/>
  </r>
  <r>
    <n v="33"/>
    <x v="2"/>
    <x v="0"/>
    <s v="Travel_Rarely"/>
    <n v="813"/>
    <x v="1"/>
    <n v="14"/>
    <n v="3"/>
    <x v="2"/>
    <n v="1"/>
    <n v="325"/>
    <n v="3"/>
    <x v="1"/>
    <n v="58"/>
    <n v="3"/>
    <n v="1"/>
    <x v="2"/>
    <n v="4"/>
    <x v="1"/>
    <n v="2436"/>
    <n v="22149"/>
    <n v="5"/>
    <s v="Y"/>
    <s v="Yes"/>
    <n v="13"/>
    <n v="3"/>
    <n v="3"/>
    <n v="80"/>
    <n v="1"/>
    <n v="8"/>
    <n v="2"/>
    <n v="1"/>
    <n v="5"/>
    <n v="4"/>
    <n v="0"/>
    <n v="4"/>
  </r>
  <r>
    <n v="43"/>
    <x v="0"/>
    <x v="1"/>
    <s v="Travel_Rarely"/>
    <n v="1034"/>
    <x v="0"/>
    <n v="16"/>
    <n v="3"/>
    <x v="3"/>
    <n v="1"/>
    <n v="327"/>
    <n v="4"/>
    <x v="0"/>
    <n v="80"/>
    <n v="3"/>
    <n v="4"/>
    <x v="5"/>
    <n v="4"/>
    <x v="1"/>
    <n v="16064"/>
    <n v="7744"/>
    <n v="5"/>
    <s v="Y"/>
    <s v="Yes"/>
    <n v="22"/>
    <n v="4"/>
    <n v="3"/>
    <n v="80"/>
    <n v="1"/>
    <n v="22"/>
    <n v="3"/>
    <n v="3"/>
    <n v="17"/>
    <n v="13"/>
    <n v="1"/>
    <n v="9"/>
  </r>
  <r>
    <n v="33"/>
    <x v="2"/>
    <x v="0"/>
    <s v="Travel_Rarely"/>
    <n v="465"/>
    <x v="1"/>
    <n v="2"/>
    <n v="2"/>
    <x v="0"/>
    <n v="1"/>
    <n v="328"/>
    <n v="1"/>
    <x v="0"/>
    <n v="39"/>
    <n v="3"/>
    <n v="1"/>
    <x v="2"/>
    <n v="1"/>
    <x v="1"/>
    <n v="2707"/>
    <n v="21509"/>
    <n v="7"/>
    <s v="Y"/>
    <s v="No"/>
    <n v="20"/>
    <n v="4"/>
    <n v="1"/>
    <n v="80"/>
    <n v="0"/>
    <n v="13"/>
    <n v="3"/>
    <n v="4"/>
    <n v="9"/>
    <n v="7"/>
    <n v="1"/>
    <n v="7"/>
  </r>
  <r>
    <n v="52"/>
    <x v="1"/>
    <x v="1"/>
    <s v="Non-Travel"/>
    <n v="771"/>
    <x v="0"/>
    <n v="2"/>
    <n v="4"/>
    <x v="0"/>
    <n v="1"/>
    <n v="329"/>
    <n v="1"/>
    <x v="1"/>
    <n v="79"/>
    <n v="2"/>
    <n v="5"/>
    <x v="5"/>
    <n v="3"/>
    <x v="0"/>
    <n v="19068"/>
    <n v="21030"/>
    <n v="1"/>
    <s v="Y"/>
    <s v="Yes"/>
    <n v="18"/>
    <n v="3"/>
    <n v="4"/>
    <n v="80"/>
    <n v="0"/>
    <n v="33"/>
    <n v="2"/>
    <n v="4"/>
    <n v="33"/>
    <n v="7"/>
    <n v="15"/>
    <n v="12"/>
  </r>
  <r>
    <n v="32"/>
    <x v="2"/>
    <x v="1"/>
    <s v="Travel_Rarely"/>
    <n v="1401"/>
    <x v="0"/>
    <n v="4"/>
    <n v="2"/>
    <x v="0"/>
    <n v="1"/>
    <n v="330"/>
    <n v="3"/>
    <x v="0"/>
    <n v="56"/>
    <n v="3"/>
    <n v="1"/>
    <x v="6"/>
    <n v="2"/>
    <x v="1"/>
    <n v="3931"/>
    <n v="20990"/>
    <n v="2"/>
    <s v="Y"/>
    <s v="No"/>
    <n v="11"/>
    <n v="3"/>
    <n v="1"/>
    <n v="80"/>
    <n v="1"/>
    <n v="6"/>
    <n v="5"/>
    <n v="3"/>
    <n v="4"/>
    <n v="3"/>
    <n v="1"/>
    <n v="2"/>
  </r>
  <r>
    <n v="32"/>
    <x v="2"/>
    <x v="0"/>
    <s v="Travel_Rarely"/>
    <n v="515"/>
    <x v="1"/>
    <n v="1"/>
    <n v="3"/>
    <x v="0"/>
    <n v="1"/>
    <n v="331"/>
    <n v="4"/>
    <x v="1"/>
    <n v="62"/>
    <n v="2"/>
    <n v="1"/>
    <x v="2"/>
    <n v="3"/>
    <x v="0"/>
    <n v="3730"/>
    <n v="9571"/>
    <n v="0"/>
    <s v="Y"/>
    <s v="Yes"/>
    <n v="14"/>
    <n v="3"/>
    <n v="4"/>
    <n v="80"/>
    <n v="0"/>
    <n v="4"/>
    <n v="2"/>
    <n v="1"/>
    <n v="3"/>
    <n v="2"/>
    <n v="1"/>
    <n v="2"/>
  </r>
  <r>
    <n v="39"/>
    <x v="0"/>
    <x v="1"/>
    <s v="Travel_Rarely"/>
    <n v="1431"/>
    <x v="1"/>
    <n v="1"/>
    <n v="4"/>
    <x v="2"/>
    <n v="1"/>
    <n v="332"/>
    <n v="3"/>
    <x v="0"/>
    <n v="96"/>
    <n v="3"/>
    <n v="1"/>
    <x v="2"/>
    <n v="3"/>
    <x v="2"/>
    <n v="2232"/>
    <n v="15417"/>
    <n v="7"/>
    <s v="Y"/>
    <s v="No"/>
    <n v="14"/>
    <n v="3"/>
    <n v="3"/>
    <n v="80"/>
    <n v="3"/>
    <n v="7"/>
    <n v="1"/>
    <n v="3"/>
    <n v="3"/>
    <n v="2"/>
    <n v="1"/>
    <n v="2"/>
  </r>
  <r>
    <n v="32"/>
    <x v="2"/>
    <x v="1"/>
    <s v="Non-Travel"/>
    <n v="976"/>
    <x v="0"/>
    <n v="26"/>
    <n v="4"/>
    <x v="3"/>
    <n v="1"/>
    <n v="333"/>
    <n v="3"/>
    <x v="1"/>
    <n v="100"/>
    <n v="3"/>
    <n v="2"/>
    <x v="0"/>
    <n v="4"/>
    <x v="1"/>
    <n v="4465"/>
    <n v="12069"/>
    <n v="0"/>
    <s v="Y"/>
    <s v="No"/>
    <n v="18"/>
    <n v="3"/>
    <n v="1"/>
    <n v="80"/>
    <n v="0"/>
    <n v="4"/>
    <n v="2"/>
    <n v="3"/>
    <n v="3"/>
    <n v="2"/>
    <n v="2"/>
    <n v="2"/>
  </r>
  <r>
    <n v="41"/>
    <x v="0"/>
    <x v="1"/>
    <s v="Travel_Rarely"/>
    <n v="1411"/>
    <x v="1"/>
    <n v="19"/>
    <n v="2"/>
    <x v="0"/>
    <n v="1"/>
    <n v="334"/>
    <n v="3"/>
    <x v="1"/>
    <n v="36"/>
    <n v="3"/>
    <n v="2"/>
    <x v="1"/>
    <n v="1"/>
    <x v="2"/>
    <n v="3072"/>
    <n v="19877"/>
    <n v="2"/>
    <s v="Y"/>
    <s v="No"/>
    <n v="16"/>
    <n v="3"/>
    <n v="1"/>
    <n v="80"/>
    <n v="2"/>
    <n v="17"/>
    <n v="2"/>
    <n v="2"/>
    <n v="1"/>
    <n v="0"/>
    <n v="0"/>
    <n v="0"/>
  </r>
  <r>
    <n v="40"/>
    <x v="0"/>
    <x v="1"/>
    <s v="Travel_Rarely"/>
    <n v="1300"/>
    <x v="1"/>
    <n v="24"/>
    <n v="2"/>
    <x v="4"/>
    <n v="1"/>
    <n v="335"/>
    <n v="1"/>
    <x v="1"/>
    <n v="62"/>
    <n v="3"/>
    <n v="2"/>
    <x v="1"/>
    <n v="4"/>
    <x v="2"/>
    <n v="3319"/>
    <n v="24447"/>
    <n v="1"/>
    <s v="Y"/>
    <s v="No"/>
    <n v="17"/>
    <n v="3"/>
    <n v="1"/>
    <n v="80"/>
    <n v="2"/>
    <n v="9"/>
    <n v="3"/>
    <n v="3"/>
    <n v="9"/>
    <n v="8"/>
    <n v="4"/>
    <n v="7"/>
  </r>
  <r>
    <n v="45"/>
    <x v="0"/>
    <x v="1"/>
    <s v="Travel_Rarely"/>
    <n v="252"/>
    <x v="1"/>
    <n v="1"/>
    <n v="3"/>
    <x v="1"/>
    <n v="1"/>
    <n v="336"/>
    <n v="3"/>
    <x v="1"/>
    <n v="70"/>
    <n v="4"/>
    <n v="5"/>
    <x v="5"/>
    <n v="4"/>
    <x v="1"/>
    <n v="19202"/>
    <n v="15970"/>
    <n v="0"/>
    <s v="Y"/>
    <s v="No"/>
    <n v="11"/>
    <n v="3"/>
    <n v="3"/>
    <n v="80"/>
    <n v="1"/>
    <n v="25"/>
    <n v="2"/>
    <n v="3"/>
    <n v="24"/>
    <n v="0"/>
    <n v="1"/>
    <n v="7"/>
  </r>
  <r>
    <n v="31"/>
    <x v="2"/>
    <x v="1"/>
    <s v="Travel_Frequently"/>
    <n v="1327"/>
    <x v="1"/>
    <n v="3"/>
    <n v="4"/>
    <x v="2"/>
    <n v="1"/>
    <n v="337"/>
    <n v="2"/>
    <x v="1"/>
    <n v="73"/>
    <n v="3"/>
    <n v="3"/>
    <x v="7"/>
    <n v="3"/>
    <x v="2"/>
    <n v="13675"/>
    <n v="13523"/>
    <n v="9"/>
    <s v="Y"/>
    <s v="No"/>
    <n v="12"/>
    <n v="3"/>
    <n v="1"/>
    <n v="80"/>
    <n v="1"/>
    <n v="9"/>
    <n v="3"/>
    <n v="3"/>
    <n v="2"/>
    <n v="2"/>
    <n v="2"/>
    <n v="2"/>
  </r>
  <r>
    <n v="33"/>
    <x v="2"/>
    <x v="1"/>
    <s v="Travel_Rarely"/>
    <n v="832"/>
    <x v="1"/>
    <n v="5"/>
    <n v="4"/>
    <x v="0"/>
    <n v="1"/>
    <n v="338"/>
    <n v="3"/>
    <x v="0"/>
    <n v="63"/>
    <n v="2"/>
    <n v="1"/>
    <x v="1"/>
    <n v="4"/>
    <x v="1"/>
    <n v="2911"/>
    <n v="14776"/>
    <n v="1"/>
    <s v="Y"/>
    <s v="No"/>
    <n v="13"/>
    <n v="3"/>
    <n v="3"/>
    <n v="80"/>
    <n v="1"/>
    <n v="2"/>
    <n v="2"/>
    <n v="2"/>
    <n v="2"/>
    <n v="2"/>
    <n v="0"/>
    <n v="2"/>
  </r>
  <r>
    <n v="34"/>
    <x v="2"/>
    <x v="1"/>
    <s v="Travel_Rarely"/>
    <n v="470"/>
    <x v="1"/>
    <n v="2"/>
    <n v="4"/>
    <x v="0"/>
    <n v="1"/>
    <n v="339"/>
    <n v="4"/>
    <x v="1"/>
    <n v="84"/>
    <n v="2"/>
    <n v="2"/>
    <x v="3"/>
    <n v="1"/>
    <x v="1"/>
    <n v="5957"/>
    <n v="23687"/>
    <n v="6"/>
    <s v="Y"/>
    <s v="No"/>
    <n v="13"/>
    <n v="3"/>
    <n v="2"/>
    <n v="80"/>
    <n v="1"/>
    <n v="13"/>
    <n v="3"/>
    <n v="3"/>
    <n v="11"/>
    <n v="9"/>
    <n v="5"/>
    <n v="9"/>
  </r>
  <r>
    <n v="37"/>
    <x v="0"/>
    <x v="1"/>
    <s v="Travel_Rarely"/>
    <n v="1017"/>
    <x v="1"/>
    <n v="1"/>
    <n v="2"/>
    <x v="2"/>
    <n v="1"/>
    <n v="340"/>
    <n v="3"/>
    <x v="0"/>
    <n v="83"/>
    <n v="2"/>
    <n v="1"/>
    <x v="1"/>
    <n v="1"/>
    <x v="1"/>
    <n v="3920"/>
    <n v="18697"/>
    <n v="2"/>
    <s v="Y"/>
    <s v="No"/>
    <n v="14"/>
    <n v="3"/>
    <n v="1"/>
    <n v="80"/>
    <n v="1"/>
    <n v="17"/>
    <n v="2"/>
    <n v="2"/>
    <n v="3"/>
    <n v="1"/>
    <n v="0"/>
    <n v="2"/>
  </r>
  <r>
    <n v="45"/>
    <x v="0"/>
    <x v="1"/>
    <s v="Travel_Frequently"/>
    <n v="1199"/>
    <x v="1"/>
    <n v="7"/>
    <n v="4"/>
    <x v="0"/>
    <n v="1"/>
    <n v="341"/>
    <n v="1"/>
    <x v="1"/>
    <n v="77"/>
    <n v="4"/>
    <n v="2"/>
    <x v="3"/>
    <n v="3"/>
    <x v="1"/>
    <n v="6434"/>
    <n v="5118"/>
    <n v="4"/>
    <s v="Y"/>
    <s v="No"/>
    <n v="17"/>
    <n v="3"/>
    <n v="4"/>
    <n v="80"/>
    <n v="1"/>
    <n v="9"/>
    <n v="1"/>
    <n v="3"/>
    <n v="3"/>
    <n v="2"/>
    <n v="0"/>
    <n v="2"/>
  </r>
  <r>
    <n v="37"/>
    <x v="0"/>
    <x v="0"/>
    <s v="Travel_Frequently"/>
    <n v="504"/>
    <x v="1"/>
    <n v="10"/>
    <n v="3"/>
    <x v="2"/>
    <n v="1"/>
    <n v="342"/>
    <n v="1"/>
    <x v="1"/>
    <n v="61"/>
    <n v="3"/>
    <n v="3"/>
    <x v="3"/>
    <n v="3"/>
    <x v="2"/>
    <n v="10048"/>
    <n v="22573"/>
    <n v="6"/>
    <s v="Y"/>
    <s v="No"/>
    <n v="11"/>
    <n v="3"/>
    <n v="2"/>
    <n v="80"/>
    <n v="2"/>
    <n v="17"/>
    <n v="5"/>
    <n v="3"/>
    <n v="1"/>
    <n v="0"/>
    <n v="0"/>
    <n v="0"/>
  </r>
  <r>
    <n v="39"/>
    <x v="0"/>
    <x v="1"/>
    <s v="Travel_Frequently"/>
    <n v="505"/>
    <x v="1"/>
    <n v="2"/>
    <n v="4"/>
    <x v="4"/>
    <n v="1"/>
    <n v="343"/>
    <n v="3"/>
    <x v="0"/>
    <n v="64"/>
    <n v="3"/>
    <n v="3"/>
    <x v="4"/>
    <n v="3"/>
    <x v="0"/>
    <n v="10938"/>
    <n v="6420"/>
    <n v="0"/>
    <s v="Y"/>
    <s v="No"/>
    <n v="25"/>
    <n v="4"/>
    <n v="4"/>
    <n v="80"/>
    <n v="0"/>
    <n v="20"/>
    <n v="1"/>
    <n v="3"/>
    <n v="19"/>
    <n v="6"/>
    <n v="11"/>
    <n v="8"/>
  </r>
  <r>
    <n v="29"/>
    <x v="2"/>
    <x v="1"/>
    <s v="Travel_Rarely"/>
    <n v="665"/>
    <x v="1"/>
    <n v="15"/>
    <n v="3"/>
    <x v="0"/>
    <n v="1"/>
    <n v="346"/>
    <n v="3"/>
    <x v="1"/>
    <n v="60"/>
    <n v="3"/>
    <n v="1"/>
    <x v="1"/>
    <n v="4"/>
    <x v="0"/>
    <n v="2340"/>
    <n v="22673"/>
    <n v="1"/>
    <s v="Y"/>
    <s v="No"/>
    <n v="19"/>
    <n v="3"/>
    <n v="1"/>
    <n v="80"/>
    <n v="0"/>
    <n v="6"/>
    <n v="1"/>
    <n v="3"/>
    <n v="6"/>
    <n v="5"/>
    <n v="1"/>
    <n v="5"/>
  </r>
  <r>
    <n v="42"/>
    <x v="0"/>
    <x v="1"/>
    <s v="Travel_Rarely"/>
    <n v="916"/>
    <x v="1"/>
    <n v="17"/>
    <n v="2"/>
    <x v="0"/>
    <n v="1"/>
    <n v="347"/>
    <n v="4"/>
    <x v="0"/>
    <n v="82"/>
    <n v="4"/>
    <n v="2"/>
    <x v="1"/>
    <n v="1"/>
    <x v="0"/>
    <n v="6545"/>
    <n v="23016"/>
    <n v="3"/>
    <s v="Y"/>
    <s v="Yes"/>
    <n v="13"/>
    <n v="3"/>
    <n v="3"/>
    <n v="80"/>
    <n v="0"/>
    <n v="10"/>
    <n v="1"/>
    <n v="3"/>
    <n v="3"/>
    <n v="2"/>
    <n v="0"/>
    <n v="2"/>
  </r>
  <r>
    <n v="29"/>
    <x v="2"/>
    <x v="1"/>
    <s v="Travel_Rarely"/>
    <n v="1247"/>
    <x v="0"/>
    <n v="20"/>
    <n v="2"/>
    <x v="3"/>
    <n v="1"/>
    <n v="349"/>
    <n v="4"/>
    <x v="1"/>
    <n v="45"/>
    <n v="3"/>
    <n v="2"/>
    <x v="0"/>
    <n v="4"/>
    <x v="2"/>
    <n v="6931"/>
    <n v="10732"/>
    <n v="2"/>
    <s v="Y"/>
    <s v="No"/>
    <n v="14"/>
    <n v="3"/>
    <n v="4"/>
    <n v="80"/>
    <n v="1"/>
    <n v="10"/>
    <n v="2"/>
    <n v="3"/>
    <n v="3"/>
    <n v="2"/>
    <n v="0"/>
    <n v="2"/>
  </r>
  <r>
    <n v="25"/>
    <x v="3"/>
    <x v="1"/>
    <s v="Travel_Rarely"/>
    <n v="685"/>
    <x v="1"/>
    <n v="1"/>
    <n v="3"/>
    <x v="0"/>
    <n v="1"/>
    <n v="350"/>
    <n v="1"/>
    <x v="0"/>
    <n v="62"/>
    <n v="3"/>
    <n v="2"/>
    <x v="3"/>
    <n v="3"/>
    <x v="1"/>
    <n v="4898"/>
    <n v="7505"/>
    <n v="0"/>
    <s v="Y"/>
    <s v="No"/>
    <n v="12"/>
    <n v="3"/>
    <n v="4"/>
    <n v="80"/>
    <n v="2"/>
    <n v="5"/>
    <n v="3"/>
    <n v="3"/>
    <n v="4"/>
    <n v="2"/>
    <n v="1"/>
    <n v="2"/>
  </r>
  <r>
    <n v="42"/>
    <x v="0"/>
    <x v="1"/>
    <s v="Travel_Rarely"/>
    <n v="269"/>
    <x v="1"/>
    <n v="2"/>
    <n v="3"/>
    <x v="2"/>
    <n v="1"/>
    <n v="351"/>
    <n v="4"/>
    <x v="0"/>
    <n v="56"/>
    <n v="2"/>
    <n v="1"/>
    <x v="2"/>
    <n v="1"/>
    <x v="2"/>
    <n v="2593"/>
    <n v="8007"/>
    <n v="0"/>
    <s v="Y"/>
    <s v="Yes"/>
    <n v="11"/>
    <n v="3"/>
    <n v="3"/>
    <n v="80"/>
    <n v="1"/>
    <n v="10"/>
    <n v="4"/>
    <n v="3"/>
    <n v="9"/>
    <n v="6"/>
    <n v="7"/>
    <n v="8"/>
  </r>
  <r>
    <n v="40"/>
    <x v="0"/>
    <x v="1"/>
    <s v="Travel_Rarely"/>
    <n v="1416"/>
    <x v="1"/>
    <n v="2"/>
    <n v="2"/>
    <x v="2"/>
    <n v="1"/>
    <n v="352"/>
    <n v="1"/>
    <x v="1"/>
    <n v="49"/>
    <n v="3"/>
    <n v="5"/>
    <x v="7"/>
    <n v="3"/>
    <x v="2"/>
    <n v="19436"/>
    <n v="5949"/>
    <n v="0"/>
    <s v="Y"/>
    <s v="No"/>
    <n v="19"/>
    <n v="3"/>
    <n v="4"/>
    <n v="80"/>
    <n v="1"/>
    <n v="22"/>
    <n v="5"/>
    <n v="3"/>
    <n v="21"/>
    <n v="7"/>
    <n v="3"/>
    <n v="9"/>
  </r>
  <r>
    <n v="51"/>
    <x v="1"/>
    <x v="1"/>
    <s v="Travel_Rarely"/>
    <n v="833"/>
    <x v="1"/>
    <n v="1"/>
    <n v="3"/>
    <x v="0"/>
    <n v="1"/>
    <n v="353"/>
    <n v="3"/>
    <x v="1"/>
    <n v="96"/>
    <n v="3"/>
    <n v="1"/>
    <x v="1"/>
    <n v="4"/>
    <x v="1"/>
    <n v="2723"/>
    <n v="23231"/>
    <n v="1"/>
    <s v="Y"/>
    <s v="No"/>
    <n v="11"/>
    <n v="3"/>
    <n v="2"/>
    <n v="80"/>
    <n v="0"/>
    <n v="1"/>
    <n v="0"/>
    <n v="2"/>
    <n v="1"/>
    <n v="0"/>
    <n v="0"/>
    <n v="0"/>
  </r>
  <r>
    <n v="31"/>
    <x v="2"/>
    <x v="0"/>
    <s v="Travel_Frequently"/>
    <n v="307"/>
    <x v="1"/>
    <n v="29"/>
    <n v="2"/>
    <x v="2"/>
    <n v="1"/>
    <n v="355"/>
    <n v="3"/>
    <x v="1"/>
    <n v="71"/>
    <n v="2"/>
    <n v="1"/>
    <x v="2"/>
    <n v="2"/>
    <x v="0"/>
    <n v="3479"/>
    <n v="11652"/>
    <n v="0"/>
    <s v="Y"/>
    <s v="No"/>
    <n v="11"/>
    <n v="3"/>
    <n v="2"/>
    <n v="80"/>
    <n v="0"/>
    <n v="6"/>
    <n v="2"/>
    <n v="4"/>
    <n v="5"/>
    <n v="4"/>
    <n v="1"/>
    <n v="4"/>
  </r>
  <r>
    <n v="32"/>
    <x v="2"/>
    <x v="1"/>
    <s v="Travel_Frequently"/>
    <n v="1311"/>
    <x v="1"/>
    <n v="7"/>
    <n v="3"/>
    <x v="0"/>
    <n v="1"/>
    <n v="359"/>
    <n v="2"/>
    <x v="1"/>
    <n v="100"/>
    <n v="4"/>
    <n v="1"/>
    <x v="2"/>
    <n v="2"/>
    <x v="1"/>
    <n v="2794"/>
    <n v="26062"/>
    <n v="1"/>
    <s v="Y"/>
    <s v="No"/>
    <n v="20"/>
    <n v="4"/>
    <n v="3"/>
    <n v="80"/>
    <n v="0"/>
    <n v="5"/>
    <n v="3"/>
    <n v="1"/>
    <n v="5"/>
    <n v="1"/>
    <n v="0"/>
    <n v="3"/>
  </r>
  <r>
    <n v="38"/>
    <x v="0"/>
    <x v="1"/>
    <s v="Non-Travel"/>
    <n v="1327"/>
    <x v="0"/>
    <n v="2"/>
    <n v="2"/>
    <x v="0"/>
    <n v="1"/>
    <n v="361"/>
    <n v="4"/>
    <x v="1"/>
    <n v="39"/>
    <n v="2"/>
    <n v="2"/>
    <x v="0"/>
    <n v="4"/>
    <x v="1"/>
    <n v="5249"/>
    <n v="19682"/>
    <n v="3"/>
    <s v="Y"/>
    <s v="No"/>
    <n v="18"/>
    <n v="3"/>
    <n v="4"/>
    <n v="80"/>
    <n v="1"/>
    <n v="13"/>
    <n v="0"/>
    <n v="3"/>
    <n v="8"/>
    <n v="7"/>
    <n v="7"/>
    <n v="5"/>
  </r>
  <r>
    <n v="32"/>
    <x v="2"/>
    <x v="1"/>
    <s v="Travel_Rarely"/>
    <n v="128"/>
    <x v="1"/>
    <n v="2"/>
    <n v="1"/>
    <x v="4"/>
    <n v="1"/>
    <n v="362"/>
    <n v="4"/>
    <x v="1"/>
    <n v="84"/>
    <n v="2"/>
    <n v="2"/>
    <x v="2"/>
    <n v="1"/>
    <x v="0"/>
    <n v="2176"/>
    <n v="19737"/>
    <n v="4"/>
    <s v="Y"/>
    <s v="No"/>
    <n v="13"/>
    <n v="3"/>
    <n v="4"/>
    <n v="80"/>
    <n v="0"/>
    <n v="9"/>
    <n v="5"/>
    <n v="3"/>
    <n v="6"/>
    <n v="2"/>
    <n v="0"/>
    <n v="4"/>
  </r>
  <r>
    <n v="46"/>
    <x v="1"/>
    <x v="1"/>
    <s v="Travel_Rarely"/>
    <n v="488"/>
    <x v="0"/>
    <n v="2"/>
    <n v="3"/>
    <x v="4"/>
    <n v="1"/>
    <n v="363"/>
    <n v="3"/>
    <x v="0"/>
    <n v="75"/>
    <n v="1"/>
    <n v="4"/>
    <x v="5"/>
    <n v="2"/>
    <x v="1"/>
    <n v="16872"/>
    <n v="14977"/>
    <n v="3"/>
    <s v="Y"/>
    <s v="Yes"/>
    <n v="12"/>
    <n v="3"/>
    <n v="2"/>
    <n v="80"/>
    <n v="1"/>
    <n v="28"/>
    <n v="2"/>
    <n v="2"/>
    <n v="7"/>
    <n v="7"/>
    <n v="7"/>
    <n v="7"/>
  </r>
  <r>
    <n v="28"/>
    <x v="2"/>
    <x v="0"/>
    <s v="Travel_Rarely"/>
    <n v="529"/>
    <x v="1"/>
    <n v="2"/>
    <n v="4"/>
    <x v="0"/>
    <n v="1"/>
    <n v="364"/>
    <n v="1"/>
    <x v="1"/>
    <n v="79"/>
    <n v="3"/>
    <n v="1"/>
    <x v="2"/>
    <n v="3"/>
    <x v="0"/>
    <n v="3485"/>
    <n v="14935"/>
    <n v="2"/>
    <s v="Y"/>
    <s v="No"/>
    <n v="11"/>
    <n v="3"/>
    <n v="3"/>
    <n v="80"/>
    <n v="0"/>
    <n v="5"/>
    <n v="5"/>
    <n v="1"/>
    <n v="0"/>
    <n v="0"/>
    <n v="0"/>
    <n v="0"/>
  </r>
  <r>
    <n v="29"/>
    <x v="2"/>
    <x v="1"/>
    <s v="Travel_Rarely"/>
    <n v="1210"/>
    <x v="0"/>
    <n v="2"/>
    <n v="3"/>
    <x v="2"/>
    <n v="1"/>
    <n v="366"/>
    <n v="1"/>
    <x v="1"/>
    <n v="78"/>
    <n v="2"/>
    <n v="2"/>
    <x v="0"/>
    <n v="2"/>
    <x v="1"/>
    <n v="6644"/>
    <n v="3687"/>
    <n v="2"/>
    <s v="Y"/>
    <s v="No"/>
    <n v="19"/>
    <n v="3"/>
    <n v="2"/>
    <n v="80"/>
    <n v="2"/>
    <n v="10"/>
    <n v="2"/>
    <n v="3"/>
    <n v="0"/>
    <n v="0"/>
    <n v="0"/>
    <n v="0"/>
  </r>
  <r>
    <n v="31"/>
    <x v="2"/>
    <x v="1"/>
    <s v="Travel_Rarely"/>
    <n v="1463"/>
    <x v="1"/>
    <n v="23"/>
    <n v="3"/>
    <x v="2"/>
    <n v="1"/>
    <n v="367"/>
    <n v="2"/>
    <x v="1"/>
    <n v="64"/>
    <n v="2"/>
    <n v="2"/>
    <x v="4"/>
    <n v="4"/>
    <x v="1"/>
    <n v="5582"/>
    <n v="14408"/>
    <n v="0"/>
    <s v="Y"/>
    <s v="No"/>
    <n v="21"/>
    <n v="4"/>
    <n v="2"/>
    <n v="80"/>
    <n v="1"/>
    <n v="10"/>
    <n v="2"/>
    <n v="3"/>
    <n v="9"/>
    <n v="0"/>
    <n v="7"/>
    <n v="8"/>
  </r>
  <r>
    <n v="25"/>
    <x v="3"/>
    <x v="1"/>
    <s v="Non-Travel"/>
    <n v="675"/>
    <x v="1"/>
    <n v="5"/>
    <n v="2"/>
    <x v="0"/>
    <n v="1"/>
    <n v="369"/>
    <n v="2"/>
    <x v="1"/>
    <n v="85"/>
    <n v="4"/>
    <n v="2"/>
    <x v="4"/>
    <n v="1"/>
    <x v="2"/>
    <n v="4000"/>
    <n v="18384"/>
    <n v="1"/>
    <s v="Y"/>
    <s v="No"/>
    <n v="12"/>
    <n v="3"/>
    <n v="4"/>
    <n v="80"/>
    <n v="2"/>
    <n v="6"/>
    <n v="2"/>
    <n v="3"/>
    <n v="6"/>
    <n v="3"/>
    <n v="1"/>
    <n v="5"/>
  </r>
  <r>
    <n v="45"/>
    <x v="0"/>
    <x v="1"/>
    <s v="Travel_Rarely"/>
    <n v="1385"/>
    <x v="1"/>
    <n v="20"/>
    <n v="2"/>
    <x v="2"/>
    <n v="1"/>
    <n v="372"/>
    <n v="3"/>
    <x v="1"/>
    <n v="79"/>
    <n v="3"/>
    <n v="4"/>
    <x v="4"/>
    <n v="4"/>
    <x v="1"/>
    <n v="13496"/>
    <n v="7501"/>
    <n v="0"/>
    <s v="Y"/>
    <s v="Yes"/>
    <n v="14"/>
    <n v="3"/>
    <n v="2"/>
    <n v="80"/>
    <n v="0"/>
    <n v="21"/>
    <n v="2"/>
    <n v="3"/>
    <n v="20"/>
    <n v="7"/>
    <n v="4"/>
    <n v="10"/>
  </r>
  <r>
    <n v="36"/>
    <x v="0"/>
    <x v="1"/>
    <s v="Travel_Rarely"/>
    <n v="1403"/>
    <x v="1"/>
    <n v="6"/>
    <n v="3"/>
    <x v="0"/>
    <n v="1"/>
    <n v="373"/>
    <n v="4"/>
    <x v="1"/>
    <n v="47"/>
    <n v="3"/>
    <n v="1"/>
    <x v="2"/>
    <n v="4"/>
    <x v="1"/>
    <n v="3210"/>
    <n v="20251"/>
    <n v="0"/>
    <s v="Y"/>
    <s v="No"/>
    <n v="11"/>
    <n v="3"/>
    <n v="3"/>
    <n v="80"/>
    <n v="1"/>
    <n v="16"/>
    <n v="4"/>
    <n v="3"/>
    <n v="15"/>
    <n v="13"/>
    <n v="10"/>
    <n v="11"/>
  </r>
  <r>
    <n v="55"/>
    <x v="1"/>
    <x v="1"/>
    <s v="Travel_Rarely"/>
    <n v="452"/>
    <x v="1"/>
    <n v="1"/>
    <n v="3"/>
    <x v="2"/>
    <n v="1"/>
    <n v="374"/>
    <n v="4"/>
    <x v="1"/>
    <n v="81"/>
    <n v="3"/>
    <n v="5"/>
    <x v="5"/>
    <n v="1"/>
    <x v="0"/>
    <n v="19045"/>
    <n v="18938"/>
    <n v="0"/>
    <s v="Y"/>
    <s v="Yes"/>
    <n v="14"/>
    <n v="3"/>
    <n v="3"/>
    <n v="80"/>
    <n v="0"/>
    <n v="37"/>
    <n v="2"/>
    <n v="3"/>
    <n v="36"/>
    <n v="10"/>
    <n v="4"/>
    <n v="13"/>
  </r>
  <r>
    <n v="47"/>
    <x v="1"/>
    <x v="0"/>
    <s v="Non-Travel"/>
    <n v="666"/>
    <x v="1"/>
    <n v="29"/>
    <n v="4"/>
    <x v="0"/>
    <n v="1"/>
    <n v="376"/>
    <n v="1"/>
    <x v="1"/>
    <n v="88"/>
    <n v="3"/>
    <n v="3"/>
    <x v="5"/>
    <n v="2"/>
    <x v="1"/>
    <n v="11849"/>
    <n v="10268"/>
    <n v="1"/>
    <s v="Y"/>
    <s v="Yes"/>
    <n v="12"/>
    <n v="3"/>
    <n v="4"/>
    <n v="80"/>
    <n v="1"/>
    <n v="10"/>
    <n v="2"/>
    <n v="2"/>
    <n v="10"/>
    <n v="7"/>
    <n v="9"/>
    <n v="9"/>
  </r>
  <r>
    <n v="28"/>
    <x v="2"/>
    <x v="1"/>
    <s v="Travel_Rarely"/>
    <n v="1158"/>
    <x v="1"/>
    <n v="9"/>
    <n v="3"/>
    <x v="2"/>
    <n v="1"/>
    <n v="377"/>
    <n v="4"/>
    <x v="1"/>
    <n v="94"/>
    <n v="3"/>
    <n v="1"/>
    <x v="1"/>
    <n v="4"/>
    <x v="1"/>
    <n v="2070"/>
    <n v="2613"/>
    <n v="1"/>
    <s v="Y"/>
    <s v="No"/>
    <n v="23"/>
    <n v="4"/>
    <n v="4"/>
    <n v="80"/>
    <n v="1"/>
    <n v="5"/>
    <n v="3"/>
    <n v="2"/>
    <n v="5"/>
    <n v="2"/>
    <n v="0"/>
    <n v="4"/>
  </r>
  <r>
    <n v="37"/>
    <x v="0"/>
    <x v="1"/>
    <s v="Travel_Rarely"/>
    <n v="228"/>
    <x v="0"/>
    <n v="6"/>
    <n v="4"/>
    <x v="2"/>
    <n v="1"/>
    <n v="378"/>
    <n v="3"/>
    <x v="1"/>
    <n v="98"/>
    <n v="3"/>
    <n v="2"/>
    <x v="0"/>
    <n v="4"/>
    <x v="1"/>
    <n v="6502"/>
    <n v="22825"/>
    <n v="4"/>
    <s v="Y"/>
    <s v="No"/>
    <n v="14"/>
    <n v="3"/>
    <n v="2"/>
    <n v="80"/>
    <n v="1"/>
    <n v="7"/>
    <n v="5"/>
    <n v="4"/>
    <n v="5"/>
    <n v="4"/>
    <n v="0"/>
    <n v="1"/>
  </r>
  <r>
    <n v="21"/>
    <x v="3"/>
    <x v="1"/>
    <s v="Travel_Rarely"/>
    <n v="996"/>
    <x v="1"/>
    <n v="3"/>
    <n v="2"/>
    <x v="2"/>
    <n v="1"/>
    <n v="379"/>
    <n v="4"/>
    <x v="1"/>
    <n v="100"/>
    <n v="2"/>
    <n v="1"/>
    <x v="1"/>
    <n v="3"/>
    <x v="0"/>
    <n v="3230"/>
    <n v="10531"/>
    <n v="1"/>
    <s v="Y"/>
    <s v="No"/>
    <n v="17"/>
    <n v="3"/>
    <n v="1"/>
    <n v="80"/>
    <n v="0"/>
    <n v="3"/>
    <n v="4"/>
    <n v="4"/>
    <n v="3"/>
    <n v="2"/>
    <n v="1"/>
    <n v="0"/>
  </r>
  <r>
    <n v="37"/>
    <x v="0"/>
    <x v="1"/>
    <s v="Non-Travel"/>
    <n v="728"/>
    <x v="1"/>
    <n v="1"/>
    <n v="4"/>
    <x v="2"/>
    <n v="1"/>
    <n v="380"/>
    <n v="1"/>
    <x v="0"/>
    <n v="80"/>
    <n v="3"/>
    <n v="3"/>
    <x v="7"/>
    <n v="4"/>
    <x v="2"/>
    <n v="13603"/>
    <n v="11677"/>
    <n v="2"/>
    <s v="Y"/>
    <s v="Yes"/>
    <n v="18"/>
    <n v="3"/>
    <n v="1"/>
    <n v="80"/>
    <n v="2"/>
    <n v="15"/>
    <n v="2"/>
    <n v="3"/>
    <n v="5"/>
    <n v="2"/>
    <n v="0"/>
    <n v="2"/>
  </r>
  <r>
    <n v="35"/>
    <x v="2"/>
    <x v="1"/>
    <s v="Travel_Rarely"/>
    <n v="1315"/>
    <x v="1"/>
    <n v="22"/>
    <n v="3"/>
    <x v="0"/>
    <n v="1"/>
    <n v="381"/>
    <n v="2"/>
    <x v="0"/>
    <n v="71"/>
    <n v="4"/>
    <n v="3"/>
    <x v="5"/>
    <n v="2"/>
    <x v="2"/>
    <n v="11996"/>
    <n v="19100"/>
    <n v="7"/>
    <s v="Y"/>
    <s v="No"/>
    <n v="18"/>
    <n v="3"/>
    <n v="2"/>
    <n v="80"/>
    <n v="1"/>
    <n v="10"/>
    <n v="6"/>
    <n v="2"/>
    <n v="7"/>
    <n v="7"/>
    <n v="6"/>
    <n v="2"/>
  </r>
  <r>
    <n v="38"/>
    <x v="0"/>
    <x v="1"/>
    <s v="Travel_Rarely"/>
    <n v="322"/>
    <x v="0"/>
    <n v="7"/>
    <n v="2"/>
    <x v="2"/>
    <n v="1"/>
    <n v="382"/>
    <n v="1"/>
    <x v="0"/>
    <n v="44"/>
    <n v="4"/>
    <n v="2"/>
    <x v="0"/>
    <n v="1"/>
    <x v="2"/>
    <n v="5605"/>
    <n v="19191"/>
    <n v="1"/>
    <s v="Y"/>
    <s v="Yes"/>
    <n v="24"/>
    <n v="4"/>
    <n v="3"/>
    <n v="80"/>
    <n v="1"/>
    <n v="8"/>
    <n v="3"/>
    <n v="3"/>
    <n v="8"/>
    <n v="0"/>
    <n v="7"/>
    <n v="7"/>
  </r>
  <r>
    <n v="26"/>
    <x v="2"/>
    <x v="1"/>
    <s v="Travel_Frequently"/>
    <n v="1479"/>
    <x v="1"/>
    <n v="1"/>
    <n v="3"/>
    <x v="0"/>
    <n v="1"/>
    <n v="384"/>
    <n v="3"/>
    <x v="0"/>
    <n v="84"/>
    <n v="3"/>
    <n v="2"/>
    <x v="3"/>
    <n v="2"/>
    <x v="2"/>
    <n v="6397"/>
    <n v="26767"/>
    <n v="1"/>
    <s v="Y"/>
    <s v="No"/>
    <n v="20"/>
    <n v="4"/>
    <n v="1"/>
    <n v="80"/>
    <n v="1"/>
    <n v="6"/>
    <n v="6"/>
    <n v="1"/>
    <n v="6"/>
    <n v="5"/>
    <n v="1"/>
    <n v="4"/>
  </r>
  <r>
    <n v="50"/>
    <x v="1"/>
    <x v="1"/>
    <s v="Travel_Rarely"/>
    <n v="797"/>
    <x v="1"/>
    <n v="4"/>
    <n v="1"/>
    <x v="0"/>
    <n v="1"/>
    <n v="385"/>
    <n v="1"/>
    <x v="1"/>
    <n v="96"/>
    <n v="3"/>
    <n v="5"/>
    <x v="7"/>
    <n v="2"/>
    <x v="2"/>
    <n v="19144"/>
    <n v="15815"/>
    <n v="3"/>
    <s v="Y"/>
    <s v="No"/>
    <n v="14"/>
    <n v="3"/>
    <n v="1"/>
    <n v="80"/>
    <n v="2"/>
    <n v="28"/>
    <n v="4"/>
    <n v="2"/>
    <n v="10"/>
    <n v="4"/>
    <n v="1"/>
    <n v="6"/>
  </r>
  <r>
    <n v="53"/>
    <x v="1"/>
    <x v="1"/>
    <s v="Travel_Rarely"/>
    <n v="1070"/>
    <x v="1"/>
    <n v="3"/>
    <n v="4"/>
    <x v="2"/>
    <n v="1"/>
    <n v="386"/>
    <n v="3"/>
    <x v="1"/>
    <n v="45"/>
    <n v="3"/>
    <n v="4"/>
    <x v="7"/>
    <n v="3"/>
    <x v="1"/>
    <n v="17584"/>
    <n v="21016"/>
    <n v="3"/>
    <s v="Y"/>
    <s v="Yes"/>
    <n v="16"/>
    <n v="3"/>
    <n v="4"/>
    <n v="80"/>
    <n v="3"/>
    <n v="21"/>
    <n v="5"/>
    <n v="2"/>
    <n v="5"/>
    <n v="3"/>
    <n v="1"/>
    <n v="3"/>
  </r>
  <r>
    <n v="42"/>
    <x v="0"/>
    <x v="1"/>
    <s v="Travel_Rarely"/>
    <n v="635"/>
    <x v="0"/>
    <n v="1"/>
    <n v="1"/>
    <x v="0"/>
    <n v="1"/>
    <n v="387"/>
    <n v="2"/>
    <x v="1"/>
    <n v="99"/>
    <n v="3"/>
    <n v="2"/>
    <x v="0"/>
    <n v="3"/>
    <x v="1"/>
    <n v="4907"/>
    <n v="24532"/>
    <n v="1"/>
    <s v="Y"/>
    <s v="No"/>
    <n v="25"/>
    <n v="4"/>
    <n v="3"/>
    <n v="80"/>
    <n v="0"/>
    <n v="20"/>
    <n v="3"/>
    <n v="3"/>
    <n v="20"/>
    <n v="16"/>
    <n v="11"/>
    <n v="6"/>
  </r>
  <r>
    <n v="29"/>
    <x v="2"/>
    <x v="1"/>
    <s v="Travel_Frequently"/>
    <n v="442"/>
    <x v="0"/>
    <n v="2"/>
    <n v="2"/>
    <x v="0"/>
    <n v="1"/>
    <n v="388"/>
    <n v="2"/>
    <x v="1"/>
    <n v="44"/>
    <n v="3"/>
    <n v="2"/>
    <x v="0"/>
    <n v="4"/>
    <x v="0"/>
    <n v="4554"/>
    <n v="20260"/>
    <n v="1"/>
    <s v="Y"/>
    <s v="No"/>
    <n v="18"/>
    <n v="3"/>
    <n v="1"/>
    <n v="80"/>
    <n v="0"/>
    <n v="10"/>
    <n v="3"/>
    <n v="2"/>
    <n v="10"/>
    <n v="7"/>
    <n v="0"/>
    <n v="9"/>
  </r>
  <r>
    <n v="55"/>
    <x v="1"/>
    <x v="1"/>
    <s v="Travel_Rarely"/>
    <n v="147"/>
    <x v="1"/>
    <n v="20"/>
    <n v="2"/>
    <x v="4"/>
    <n v="1"/>
    <n v="389"/>
    <n v="2"/>
    <x v="1"/>
    <n v="37"/>
    <n v="3"/>
    <n v="2"/>
    <x v="2"/>
    <n v="4"/>
    <x v="1"/>
    <n v="5415"/>
    <n v="15972"/>
    <n v="3"/>
    <s v="Y"/>
    <s v="Yes"/>
    <n v="19"/>
    <n v="3"/>
    <n v="4"/>
    <n v="80"/>
    <n v="1"/>
    <n v="12"/>
    <n v="4"/>
    <n v="3"/>
    <n v="10"/>
    <n v="7"/>
    <n v="0"/>
    <n v="8"/>
  </r>
  <r>
    <n v="26"/>
    <x v="2"/>
    <x v="1"/>
    <s v="Travel_Frequently"/>
    <n v="496"/>
    <x v="1"/>
    <n v="11"/>
    <n v="2"/>
    <x v="2"/>
    <n v="1"/>
    <n v="390"/>
    <n v="1"/>
    <x v="1"/>
    <n v="60"/>
    <n v="3"/>
    <n v="2"/>
    <x v="4"/>
    <n v="1"/>
    <x v="1"/>
    <n v="4741"/>
    <n v="22722"/>
    <n v="1"/>
    <s v="Y"/>
    <s v="Yes"/>
    <n v="13"/>
    <n v="3"/>
    <n v="3"/>
    <n v="80"/>
    <n v="1"/>
    <n v="5"/>
    <n v="3"/>
    <n v="3"/>
    <n v="5"/>
    <n v="3"/>
    <n v="3"/>
    <n v="3"/>
  </r>
  <r>
    <n v="37"/>
    <x v="0"/>
    <x v="1"/>
    <s v="Travel_Rarely"/>
    <n v="1372"/>
    <x v="1"/>
    <n v="1"/>
    <n v="3"/>
    <x v="0"/>
    <n v="1"/>
    <n v="391"/>
    <n v="4"/>
    <x v="0"/>
    <n v="42"/>
    <n v="3"/>
    <n v="1"/>
    <x v="1"/>
    <n v="4"/>
    <x v="0"/>
    <n v="2115"/>
    <n v="15881"/>
    <n v="1"/>
    <s v="Y"/>
    <s v="No"/>
    <n v="12"/>
    <n v="3"/>
    <n v="2"/>
    <n v="80"/>
    <n v="0"/>
    <n v="17"/>
    <n v="3"/>
    <n v="3"/>
    <n v="17"/>
    <n v="12"/>
    <n v="5"/>
    <n v="7"/>
  </r>
  <r>
    <n v="44"/>
    <x v="0"/>
    <x v="0"/>
    <s v="Travel_Frequently"/>
    <n v="920"/>
    <x v="1"/>
    <n v="24"/>
    <n v="3"/>
    <x v="0"/>
    <n v="1"/>
    <n v="392"/>
    <n v="4"/>
    <x v="1"/>
    <n v="43"/>
    <n v="3"/>
    <n v="1"/>
    <x v="2"/>
    <n v="3"/>
    <x v="2"/>
    <n v="3161"/>
    <n v="19920"/>
    <n v="3"/>
    <s v="Y"/>
    <s v="Yes"/>
    <n v="22"/>
    <n v="4"/>
    <n v="4"/>
    <n v="80"/>
    <n v="1"/>
    <n v="19"/>
    <n v="0"/>
    <n v="1"/>
    <n v="1"/>
    <n v="0"/>
    <n v="0"/>
    <n v="0"/>
  </r>
  <r>
    <n v="38"/>
    <x v="0"/>
    <x v="1"/>
    <s v="Travel_Rarely"/>
    <n v="688"/>
    <x v="1"/>
    <n v="23"/>
    <n v="4"/>
    <x v="0"/>
    <n v="1"/>
    <n v="393"/>
    <n v="4"/>
    <x v="1"/>
    <n v="82"/>
    <n v="3"/>
    <n v="2"/>
    <x v="4"/>
    <n v="4"/>
    <x v="2"/>
    <n v="5745"/>
    <n v="18899"/>
    <n v="9"/>
    <s v="Y"/>
    <s v="No"/>
    <n v="14"/>
    <n v="3"/>
    <n v="2"/>
    <n v="80"/>
    <n v="1"/>
    <n v="10"/>
    <n v="2"/>
    <n v="3"/>
    <n v="2"/>
    <n v="2"/>
    <n v="1"/>
    <n v="2"/>
  </r>
  <r>
    <n v="26"/>
    <x v="2"/>
    <x v="0"/>
    <s v="Travel_Rarely"/>
    <n v="1449"/>
    <x v="1"/>
    <n v="16"/>
    <n v="4"/>
    <x v="2"/>
    <n v="1"/>
    <n v="394"/>
    <n v="1"/>
    <x v="1"/>
    <n v="45"/>
    <n v="3"/>
    <n v="1"/>
    <x v="2"/>
    <n v="2"/>
    <x v="2"/>
    <n v="2373"/>
    <n v="14180"/>
    <n v="2"/>
    <s v="Y"/>
    <s v="Yes"/>
    <n v="13"/>
    <n v="3"/>
    <n v="4"/>
    <n v="80"/>
    <n v="1"/>
    <n v="5"/>
    <n v="2"/>
    <n v="3"/>
    <n v="3"/>
    <n v="2"/>
    <n v="0"/>
    <n v="2"/>
  </r>
  <r>
    <n v="28"/>
    <x v="2"/>
    <x v="1"/>
    <s v="Travel_Rarely"/>
    <n v="1117"/>
    <x v="1"/>
    <n v="8"/>
    <n v="2"/>
    <x v="0"/>
    <n v="1"/>
    <n v="395"/>
    <n v="4"/>
    <x v="0"/>
    <n v="66"/>
    <n v="3"/>
    <n v="1"/>
    <x v="1"/>
    <n v="4"/>
    <x v="0"/>
    <n v="3310"/>
    <n v="4488"/>
    <n v="1"/>
    <s v="Y"/>
    <s v="No"/>
    <n v="21"/>
    <n v="4"/>
    <n v="4"/>
    <n v="80"/>
    <n v="0"/>
    <n v="5"/>
    <n v="3"/>
    <n v="3"/>
    <n v="5"/>
    <n v="3"/>
    <n v="0"/>
    <n v="2"/>
  </r>
  <r>
    <n v="49"/>
    <x v="1"/>
    <x v="1"/>
    <s v="Travel_Frequently"/>
    <n v="636"/>
    <x v="1"/>
    <n v="10"/>
    <n v="4"/>
    <x v="0"/>
    <n v="1"/>
    <n v="396"/>
    <n v="3"/>
    <x v="0"/>
    <n v="35"/>
    <n v="3"/>
    <n v="5"/>
    <x v="7"/>
    <n v="1"/>
    <x v="0"/>
    <n v="18665"/>
    <n v="25594"/>
    <n v="9"/>
    <s v="Y"/>
    <s v="Yes"/>
    <n v="11"/>
    <n v="3"/>
    <n v="4"/>
    <n v="80"/>
    <n v="0"/>
    <n v="22"/>
    <n v="4"/>
    <n v="3"/>
    <n v="3"/>
    <n v="2"/>
    <n v="1"/>
    <n v="2"/>
  </r>
  <r>
    <n v="36"/>
    <x v="0"/>
    <x v="1"/>
    <s v="Travel_Rarely"/>
    <n v="506"/>
    <x v="1"/>
    <n v="3"/>
    <n v="3"/>
    <x v="4"/>
    <n v="1"/>
    <n v="397"/>
    <n v="3"/>
    <x v="1"/>
    <n v="30"/>
    <n v="3"/>
    <n v="2"/>
    <x v="1"/>
    <n v="2"/>
    <x v="0"/>
    <n v="4485"/>
    <n v="26285"/>
    <n v="4"/>
    <s v="Y"/>
    <s v="No"/>
    <n v="12"/>
    <n v="3"/>
    <n v="4"/>
    <n v="80"/>
    <n v="0"/>
    <n v="10"/>
    <n v="2"/>
    <n v="3"/>
    <n v="8"/>
    <n v="0"/>
    <n v="7"/>
    <n v="7"/>
  </r>
  <r>
    <n v="31"/>
    <x v="2"/>
    <x v="1"/>
    <s v="Travel_Frequently"/>
    <n v="444"/>
    <x v="0"/>
    <n v="5"/>
    <n v="3"/>
    <x v="3"/>
    <n v="1"/>
    <n v="399"/>
    <n v="4"/>
    <x v="0"/>
    <n v="84"/>
    <n v="3"/>
    <n v="1"/>
    <x v="6"/>
    <n v="2"/>
    <x v="2"/>
    <n v="2789"/>
    <n v="3909"/>
    <n v="1"/>
    <s v="Y"/>
    <s v="No"/>
    <n v="11"/>
    <n v="3"/>
    <n v="3"/>
    <n v="80"/>
    <n v="1"/>
    <n v="2"/>
    <n v="5"/>
    <n v="2"/>
    <n v="2"/>
    <n v="2"/>
    <n v="2"/>
    <n v="2"/>
  </r>
  <r>
    <n v="26"/>
    <x v="2"/>
    <x v="0"/>
    <s v="Travel_Rarely"/>
    <n v="950"/>
    <x v="0"/>
    <n v="4"/>
    <n v="4"/>
    <x v="3"/>
    <n v="1"/>
    <n v="401"/>
    <n v="4"/>
    <x v="1"/>
    <n v="48"/>
    <n v="2"/>
    <n v="2"/>
    <x v="0"/>
    <n v="4"/>
    <x v="0"/>
    <n v="5828"/>
    <n v="8450"/>
    <n v="1"/>
    <s v="Y"/>
    <s v="Yes"/>
    <n v="12"/>
    <n v="3"/>
    <n v="2"/>
    <n v="80"/>
    <n v="0"/>
    <n v="8"/>
    <n v="0"/>
    <n v="3"/>
    <n v="8"/>
    <n v="7"/>
    <n v="7"/>
    <n v="4"/>
  </r>
  <r>
    <n v="37"/>
    <x v="0"/>
    <x v="1"/>
    <s v="Travel_Frequently"/>
    <n v="889"/>
    <x v="1"/>
    <n v="9"/>
    <n v="3"/>
    <x v="2"/>
    <n v="1"/>
    <n v="403"/>
    <n v="2"/>
    <x v="1"/>
    <n v="53"/>
    <n v="3"/>
    <n v="1"/>
    <x v="1"/>
    <n v="4"/>
    <x v="1"/>
    <n v="2326"/>
    <n v="11411"/>
    <n v="1"/>
    <s v="Y"/>
    <s v="Yes"/>
    <n v="12"/>
    <n v="3"/>
    <n v="3"/>
    <n v="80"/>
    <n v="3"/>
    <n v="4"/>
    <n v="3"/>
    <n v="2"/>
    <n v="4"/>
    <n v="2"/>
    <n v="1"/>
    <n v="2"/>
  </r>
  <r>
    <n v="42"/>
    <x v="0"/>
    <x v="1"/>
    <s v="Travel_Frequently"/>
    <n v="555"/>
    <x v="0"/>
    <n v="26"/>
    <n v="3"/>
    <x v="3"/>
    <n v="1"/>
    <n v="404"/>
    <n v="3"/>
    <x v="0"/>
    <n v="77"/>
    <n v="3"/>
    <n v="4"/>
    <x v="0"/>
    <n v="2"/>
    <x v="1"/>
    <n v="13525"/>
    <n v="14864"/>
    <n v="5"/>
    <s v="Y"/>
    <s v="No"/>
    <n v="14"/>
    <n v="3"/>
    <n v="4"/>
    <n v="80"/>
    <n v="1"/>
    <n v="23"/>
    <n v="2"/>
    <n v="4"/>
    <n v="20"/>
    <n v="4"/>
    <n v="4"/>
    <n v="8"/>
  </r>
  <r>
    <n v="18"/>
    <x v="3"/>
    <x v="0"/>
    <s v="Travel_Rarely"/>
    <n v="230"/>
    <x v="1"/>
    <n v="3"/>
    <n v="3"/>
    <x v="0"/>
    <n v="1"/>
    <n v="405"/>
    <n v="3"/>
    <x v="1"/>
    <n v="54"/>
    <n v="3"/>
    <n v="1"/>
    <x v="2"/>
    <n v="3"/>
    <x v="0"/>
    <n v="1420"/>
    <n v="25233"/>
    <n v="1"/>
    <s v="Y"/>
    <s v="No"/>
    <n v="13"/>
    <n v="3"/>
    <n v="3"/>
    <n v="80"/>
    <n v="0"/>
    <n v="0"/>
    <n v="2"/>
    <n v="3"/>
    <n v="0"/>
    <n v="0"/>
    <n v="0"/>
    <n v="0"/>
  </r>
  <r>
    <n v="35"/>
    <x v="2"/>
    <x v="1"/>
    <s v="Travel_Rarely"/>
    <n v="1232"/>
    <x v="0"/>
    <n v="16"/>
    <n v="3"/>
    <x v="3"/>
    <n v="1"/>
    <n v="406"/>
    <n v="3"/>
    <x v="1"/>
    <n v="96"/>
    <n v="3"/>
    <n v="3"/>
    <x v="0"/>
    <n v="2"/>
    <x v="1"/>
    <n v="8020"/>
    <n v="5100"/>
    <n v="0"/>
    <s v="Y"/>
    <s v="No"/>
    <n v="15"/>
    <n v="3"/>
    <n v="3"/>
    <n v="80"/>
    <n v="2"/>
    <n v="12"/>
    <n v="3"/>
    <n v="2"/>
    <n v="11"/>
    <n v="9"/>
    <n v="6"/>
    <n v="9"/>
  </r>
  <r>
    <n v="36"/>
    <x v="0"/>
    <x v="1"/>
    <s v="Travel_Frequently"/>
    <n v="566"/>
    <x v="1"/>
    <n v="18"/>
    <n v="4"/>
    <x v="0"/>
    <n v="1"/>
    <n v="407"/>
    <n v="3"/>
    <x v="1"/>
    <n v="81"/>
    <n v="4"/>
    <n v="1"/>
    <x v="2"/>
    <n v="4"/>
    <x v="1"/>
    <n v="3688"/>
    <n v="7122"/>
    <n v="4"/>
    <s v="Y"/>
    <s v="No"/>
    <n v="18"/>
    <n v="3"/>
    <n v="4"/>
    <n v="80"/>
    <n v="2"/>
    <n v="4"/>
    <n v="2"/>
    <n v="3"/>
    <n v="1"/>
    <n v="0"/>
    <n v="0"/>
    <n v="0"/>
  </r>
  <r>
    <n v="51"/>
    <x v="1"/>
    <x v="1"/>
    <s v="Travel_Rarely"/>
    <n v="1302"/>
    <x v="1"/>
    <n v="2"/>
    <n v="3"/>
    <x v="2"/>
    <n v="1"/>
    <n v="408"/>
    <n v="4"/>
    <x v="1"/>
    <n v="84"/>
    <n v="1"/>
    <n v="2"/>
    <x v="3"/>
    <n v="2"/>
    <x v="2"/>
    <n v="5482"/>
    <n v="16321"/>
    <n v="5"/>
    <s v="Y"/>
    <s v="No"/>
    <n v="18"/>
    <n v="3"/>
    <n v="4"/>
    <n v="80"/>
    <n v="1"/>
    <n v="13"/>
    <n v="3"/>
    <n v="3"/>
    <n v="4"/>
    <n v="1"/>
    <n v="1"/>
    <n v="2"/>
  </r>
  <r>
    <n v="41"/>
    <x v="0"/>
    <x v="1"/>
    <s v="Travel_Rarely"/>
    <n v="334"/>
    <x v="0"/>
    <n v="2"/>
    <n v="4"/>
    <x v="0"/>
    <n v="1"/>
    <n v="410"/>
    <n v="4"/>
    <x v="1"/>
    <n v="88"/>
    <n v="3"/>
    <n v="4"/>
    <x v="5"/>
    <n v="2"/>
    <x v="0"/>
    <n v="16015"/>
    <n v="15896"/>
    <n v="1"/>
    <s v="Y"/>
    <s v="No"/>
    <n v="19"/>
    <n v="3"/>
    <n v="2"/>
    <n v="80"/>
    <n v="0"/>
    <n v="22"/>
    <n v="2"/>
    <n v="3"/>
    <n v="22"/>
    <n v="10"/>
    <n v="0"/>
    <n v="4"/>
  </r>
  <r>
    <n v="18"/>
    <x v="3"/>
    <x v="1"/>
    <s v="Travel_Rarely"/>
    <n v="812"/>
    <x v="0"/>
    <n v="10"/>
    <n v="3"/>
    <x v="2"/>
    <n v="1"/>
    <n v="411"/>
    <n v="4"/>
    <x v="0"/>
    <n v="69"/>
    <n v="2"/>
    <n v="1"/>
    <x v="6"/>
    <n v="3"/>
    <x v="0"/>
    <n v="1200"/>
    <n v="9724"/>
    <n v="1"/>
    <s v="Y"/>
    <s v="No"/>
    <n v="12"/>
    <n v="3"/>
    <n v="1"/>
    <n v="80"/>
    <n v="0"/>
    <n v="0"/>
    <n v="2"/>
    <n v="3"/>
    <n v="0"/>
    <n v="0"/>
    <n v="0"/>
    <n v="0"/>
  </r>
  <r>
    <n v="28"/>
    <x v="2"/>
    <x v="1"/>
    <s v="Travel_Rarely"/>
    <n v="1476"/>
    <x v="1"/>
    <n v="16"/>
    <n v="2"/>
    <x v="2"/>
    <n v="1"/>
    <n v="412"/>
    <n v="2"/>
    <x v="1"/>
    <n v="68"/>
    <n v="4"/>
    <n v="2"/>
    <x v="4"/>
    <n v="1"/>
    <x v="0"/>
    <n v="5661"/>
    <n v="4824"/>
    <n v="0"/>
    <s v="Y"/>
    <s v="No"/>
    <n v="19"/>
    <n v="3"/>
    <n v="3"/>
    <n v="80"/>
    <n v="0"/>
    <n v="9"/>
    <n v="2"/>
    <n v="3"/>
    <n v="8"/>
    <n v="3"/>
    <n v="0"/>
    <n v="7"/>
  </r>
  <r>
    <n v="31"/>
    <x v="2"/>
    <x v="1"/>
    <s v="Travel_Rarely"/>
    <n v="218"/>
    <x v="0"/>
    <n v="7"/>
    <n v="3"/>
    <x v="4"/>
    <n v="1"/>
    <n v="416"/>
    <n v="2"/>
    <x v="1"/>
    <n v="100"/>
    <n v="4"/>
    <n v="2"/>
    <x v="0"/>
    <n v="4"/>
    <x v="1"/>
    <n v="6929"/>
    <n v="12241"/>
    <n v="4"/>
    <s v="Y"/>
    <s v="No"/>
    <n v="11"/>
    <n v="3"/>
    <n v="2"/>
    <n v="80"/>
    <n v="1"/>
    <n v="10"/>
    <n v="3"/>
    <n v="2"/>
    <n v="8"/>
    <n v="7"/>
    <n v="7"/>
    <n v="7"/>
  </r>
  <r>
    <n v="39"/>
    <x v="0"/>
    <x v="1"/>
    <s v="Travel_Rarely"/>
    <n v="1132"/>
    <x v="1"/>
    <n v="1"/>
    <n v="3"/>
    <x v="2"/>
    <n v="1"/>
    <n v="417"/>
    <n v="3"/>
    <x v="1"/>
    <n v="48"/>
    <n v="4"/>
    <n v="3"/>
    <x v="4"/>
    <n v="4"/>
    <x v="2"/>
    <n v="9613"/>
    <n v="10942"/>
    <n v="0"/>
    <s v="Y"/>
    <s v="No"/>
    <n v="17"/>
    <n v="3"/>
    <n v="1"/>
    <n v="80"/>
    <n v="3"/>
    <n v="19"/>
    <n v="5"/>
    <n v="2"/>
    <n v="18"/>
    <n v="10"/>
    <n v="3"/>
    <n v="7"/>
  </r>
  <r>
    <n v="36"/>
    <x v="0"/>
    <x v="1"/>
    <s v="Non-Travel"/>
    <n v="1105"/>
    <x v="1"/>
    <n v="24"/>
    <n v="4"/>
    <x v="0"/>
    <n v="1"/>
    <n v="419"/>
    <n v="2"/>
    <x v="0"/>
    <n v="47"/>
    <n v="3"/>
    <n v="2"/>
    <x v="2"/>
    <n v="2"/>
    <x v="1"/>
    <n v="5674"/>
    <n v="6927"/>
    <n v="7"/>
    <s v="Y"/>
    <s v="No"/>
    <n v="15"/>
    <n v="3"/>
    <n v="3"/>
    <n v="80"/>
    <n v="1"/>
    <n v="11"/>
    <n v="3"/>
    <n v="3"/>
    <n v="9"/>
    <n v="8"/>
    <n v="0"/>
    <n v="8"/>
  </r>
  <r>
    <n v="32"/>
    <x v="2"/>
    <x v="1"/>
    <s v="Travel_Rarely"/>
    <n v="906"/>
    <x v="0"/>
    <n v="7"/>
    <n v="3"/>
    <x v="0"/>
    <n v="1"/>
    <n v="420"/>
    <n v="4"/>
    <x v="1"/>
    <n v="91"/>
    <n v="2"/>
    <n v="2"/>
    <x v="0"/>
    <n v="3"/>
    <x v="1"/>
    <n v="5484"/>
    <n v="16985"/>
    <n v="1"/>
    <s v="Y"/>
    <s v="No"/>
    <n v="14"/>
    <n v="3"/>
    <n v="3"/>
    <n v="80"/>
    <n v="1"/>
    <n v="13"/>
    <n v="3"/>
    <n v="2"/>
    <n v="13"/>
    <n v="8"/>
    <n v="4"/>
    <n v="8"/>
  </r>
  <r>
    <n v="38"/>
    <x v="0"/>
    <x v="1"/>
    <s v="Travel_Rarely"/>
    <n v="849"/>
    <x v="1"/>
    <n v="25"/>
    <n v="2"/>
    <x v="0"/>
    <n v="1"/>
    <n v="421"/>
    <n v="1"/>
    <x v="0"/>
    <n v="81"/>
    <n v="2"/>
    <n v="3"/>
    <x v="7"/>
    <n v="2"/>
    <x v="1"/>
    <n v="12061"/>
    <n v="26707"/>
    <n v="3"/>
    <s v="Y"/>
    <s v="No"/>
    <n v="17"/>
    <n v="3"/>
    <n v="3"/>
    <n v="80"/>
    <n v="1"/>
    <n v="19"/>
    <n v="2"/>
    <n v="3"/>
    <n v="10"/>
    <n v="8"/>
    <n v="0"/>
    <n v="1"/>
  </r>
  <r>
    <n v="58"/>
    <x v="1"/>
    <x v="1"/>
    <s v="Non-Travel"/>
    <n v="390"/>
    <x v="1"/>
    <n v="1"/>
    <n v="4"/>
    <x v="0"/>
    <n v="1"/>
    <n v="422"/>
    <n v="4"/>
    <x v="1"/>
    <n v="32"/>
    <n v="1"/>
    <n v="2"/>
    <x v="4"/>
    <n v="3"/>
    <x v="2"/>
    <n v="5660"/>
    <n v="17056"/>
    <n v="2"/>
    <s v="Y"/>
    <s v="Yes"/>
    <n v="13"/>
    <n v="3"/>
    <n v="4"/>
    <n v="80"/>
    <n v="1"/>
    <n v="12"/>
    <n v="2"/>
    <n v="3"/>
    <n v="5"/>
    <n v="3"/>
    <n v="1"/>
    <n v="2"/>
  </r>
  <r>
    <n v="31"/>
    <x v="2"/>
    <x v="1"/>
    <s v="Travel_Rarely"/>
    <n v="691"/>
    <x v="1"/>
    <n v="5"/>
    <n v="4"/>
    <x v="4"/>
    <n v="1"/>
    <n v="423"/>
    <n v="3"/>
    <x v="1"/>
    <n v="86"/>
    <n v="3"/>
    <n v="1"/>
    <x v="1"/>
    <n v="4"/>
    <x v="1"/>
    <n v="4821"/>
    <n v="10077"/>
    <n v="0"/>
    <s v="Y"/>
    <s v="Yes"/>
    <n v="12"/>
    <n v="3"/>
    <n v="3"/>
    <n v="80"/>
    <n v="1"/>
    <n v="6"/>
    <n v="4"/>
    <n v="3"/>
    <n v="5"/>
    <n v="2"/>
    <n v="0"/>
    <n v="3"/>
  </r>
  <r>
    <n v="31"/>
    <x v="2"/>
    <x v="1"/>
    <s v="Travel_Rarely"/>
    <n v="106"/>
    <x v="2"/>
    <n v="2"/>
    <n v="3"/>
    <x v="5"/>
    <n v="1"/>
    <n v="424"/>
    <n v="1"/>
    <x v="1"/>
    <n v="62"/>
    <n v="2"/>
    <n v="2"/>
    <x v="8"/>
    <n v="1"/>
    <x v="1"/>
    <n v="6410"/>
    <n v="17822"/>
    <n v="3"/>
    <s v="Y"/>
    <s v="No"/>
    <n v="12"/>
    <n v="3"/>
    <n v="4"/>
    <n v="80"/>
    <n v="0"/>
    <n v="9"/>
    <n v="1"/>
    <n v="3"/>
    <n v="2"/>
    <n v="2"/>
    <n v="1"/>
    <n v="0"/>
  </r>
  <r>
    <n v="45"/>
    <x v="0"/>
    <x v="1"/>
    <s v="Travel_Frequently"/>
    <n v="1249"/>
    <x v="1"/>
    <n v="7"/>
    <n v="3"/>
    <x v="0"/>
    <n v="1"/>
    <n v="425"/>
    <n v="1"/>
    <x v="1"/>
    <n v="97"/>
    <n v="3"/>
    <n v="3"/>
    <x v="2"/>
    <n v="1"/>
    <x v="2"/>
    <n v="5210"/>
    <n v="20308"/>
    <n v="1"/>
    <s v="Y"/>
    <s v="No"/>
    <n v="18"/>
    <n v="3"/>
    <n v="1"/>
    <n v="80"/>
    <n v="1"/>
    <n v="24"/>
    <n v="2"/>
    <n v="3"/>
    <n v="24"/>
    <n v="9"/>
    <n v="9"/>
    <n v="11"/>
  </r>
  <r>
    <n v="31"/>
    <x v="2"/>
    <x v="1"/>
    <s v="Travel_Rarely"/>
    <n v="192"/>
    <x v="1"/>
    <n v="2"/>
    <n v="4"/>
    <x v="0"/>
    <n v="1"/>
    <n v="426"/>
    <n v="3"/>
    <x v="1"/>
    <n v="32"/>
    <n v="3"/>
    <n v="1"/>
    <x v="1"/>
    <n v="4"/>
    <x v="2"/>
    <n v="2695"/>
    <n v="7747"/>
    <n v="0"/>
    <s v="Y"/>
    <s v="Yes"/>
    <n v="18"/>
    <n v="3"/>
    <n v="2"/>
    <n v="80"/>
    <n v="1"/>
    <n v="3"/>
    <n v="2"/>
    <n v="1"/>
    <n v="2"/>
    <n v="2"/>
    <n v="2"/>
    <n v="2"/>
  </r>
  <r>
    <n v="33"/>
    <x v="2"/>
    <x v="1"/>
    <s v="Travel_Frequently"/>
    <n v="553"/>
    <x v="1"/>
    <n v="5"/>
    <n v="4"/>
    <x v="0"/>
    <n v="1"/>
    <n v="428"/>
    <n v="4"/>
    <x v="0"/>
    <n v="74"/>
    <n v="3"/>
    <n v="3"/>
    <x v="5"/>
    <n v="2"/>
    <x v="1"/>
    <n v="11878"/>
    <n v="23364"/>
    <n v="6"/>
    <s v="Y"/>
    <s v="No"/>
    <n v="11"/>
    <n v="3"/>
    <n v="2"/>
    <n v="80"/>
    <n v="2"/>
    <n v="12"/>
    <n v="2"/>
    <n v="3"/>
    <n v="10"/>
    <n v="6"/>
    <n v="8"/>
    <n v="8"/>
  </r>
  <r>
    <n v="39"/>
    <x v="0"/>
    <x v="1"/>
    <s v="Travel_Rarely"/>
    <n v="117"/>
    <x v="1"/>
    <n v="10"/>
    <n v="1"/>
    <x v="2"/>
    <n v="1"/>
    <n v="429"/>
    <n v="3"/>
    <x v="1"/>
    <n v="99"/>
    <n v="3"/>
    <n v="4"/>
    <x v="5"/>
    <n v="1"/>
    <x v="1"/>
    <n v="17068"/>
    <n v="5355"/>
    <n v="1"/>
    <s v="Y"/>
    <s v="Yes"/>
    <n v="14"/>
    <n v="3"/>
    <n v="4"/>
    <n v="80"/>
    <n v="0"/>
    <n v="21"/>
    <n v="3"/>
    <n v="3"/>
    <n v="21"/>
    <n v="9"/>
    <n v="11"/>
    <n v="10"/>
  </r>
  <r>
    <n v="43"/>
    <x v="0"/>
    <x v="1"/>
    <s v="Travel_Frequently"/>
    <n v="185"/>
    <x v="1"/>
    <n v="10"/>
    <n v="4"/>
    <x v="0"/>
    <n v="1"/>
    <n v="430"/>
    <n v="3"/>
    <x v="0"/>
    <n v="33"/>
    <n v="3"/>
    <n v="1"/>
    <x v="2"/>
    <n v="4"/>
    <x v="0"/>
    <n v="2455"/>
    <n v="10675"/>
    <n v="0"/>
    <s v="Y"/>
    <s v="No"/>
    <n v="19"/>
    <n v="3"/>
    <n v="1"/>
    <n v="80"/>
    <n v="0"/>
    <n v="9"/>
    <n v="5"/>
    <n v="3"/>
    <n v="8"/>
    <n v="7"/>
    <n v="1"/>
    <n v="7"/>
  </r>
  <r>
    <n v="49"/>
    <x v="1"/>
    <x v="1"/>
    <s v="Travel_Rarely"/>
    <n v="1091"/>
    <x v="1"/>
    <n v="1"/>
    <n v="2"/>
    <x v="4"/>
    <n v="1"/>
    <n v="431"/>
    <n v="3"/>
    <x v="0"/>
    <n v="90"/>
    <n v="2"/>
    <n v="4"/>
    <x v="4"/>
    <n v="3"/>
    <x v="0"/>
    <n v="13964"/>
    <n v="17810"/>
    <n v="7"/>
    <s v="Y"/>
    <s v="Yes"/>
    <n v="12"/>
    <n v="3"/>
    <n v="4"/>
    <n v="80"/>
    <n v="0"/>
    <n v="25"/>
    <n v="2"/>
    <n v="3"/>
    <n v="7"/>
    <n v="1"/>
    <n v="0"/>
    <n v="7"/>
  </r>
  <r>
    <n v="52"/>
    <x v="1"/>
    <x v="0"/>
    <s v="Travel_Rarely"/>
    <n v="723"/>
    <x v="1"/>
    <n v="8"/>
    <n v="4"/>
    <x v="2"/>
    <n v="1"/>
    <n v="433"/>
    <n v="3"/>
    <x v="1"/>
    <n v="85"/>
    <n v="2"/>
    <n v="2"/>
    <x v="1"/>
    <n v="2"/>
    <x v="1"/>
    <n v="4941"/>
    <n v="17747"/>
    <n v="2"/>
    <s v="Y"/>
    <s v="No"/>
    <n v="15"/>
    <n v="3"/>
    <n v="1"/>
    <n v="80"/>
    <n v="0"/>
    <n v="11"/>
    <n v="3"/>
    <n v="2"/>
    <n v="8"/>
    <n v="2"/>
    <n v="7"/>
    <n v="7"/>
  </r>
  <r>
    <n v="27"/>
    <x v="2"/>
    <x v="1"/>
    <s v="Travel_Rarely"/>
    <n v="1220"/>
    <x v="1"/>
    <n v="5"/>
    <n v="3"/>
    <x v="0"/>
    <n v="1"/>
    <n v="434"/>
    <n v="3"/>
    <x v="0"/>
    <n v="85"/>
    <n v="3"/>
    <n v="1"/>
    <x v="1"/>
    <n v="2"/>
    <x v="0"/>
    <n v="2478"/>
    <n v="20938"/>
    <n v="1"/>
    <s v="Y"/>
    <s v="Yes"/>
    <n v="12"/>
    <n v="3"/>
    <n v="2"/>
    <n v="80"/>
    <n v="0"/>
    <n v="4"/>
    <n v="2"/>
    <n v="2"/>
    <n v="4"/>
    <n v="3"/>
    <n v="1"/>
    <n v="2"/>
  </r>
  <r>
    <n v="32"/>
    <x v="2"/>
    <x v="1"/>
    <s v="Travel_Rarely"/>
    <n v="588"/>
    <x v="0"/>
    <n v="8"/>
    <n v="2"/>
    <x v="4"/>
    <n v="1"/>
    <n v="436"/>
    <n v="3"/>
    <x v="0"/>
    <n v="65"/>
    <n v="2"/>
    <n v="2"/>
    <x v="0"/>
    <n v="2"/>
    <x v="1"/>
    <n v="5228"/>
    <n v="24624"/>
    <n v="1"/>
    <s v="Y"/>
    <s v="Yes"/>
    <n v="11"/>
    <n v="3"/>
    <n v="4"/>
    <n v="80"/>
    <n v="0"/>
    <n v="13"/>
    <n v="2"/>
    <n v="3"/>
    <n v="13"/>
    <n v="12"/>
    <n v="11"/>
    <n v="9"/>
  </r>
  <r>
    <n v="27"/>
    <x v="2"/>
    <x v="1"/>
    <s v="Travel_Rarely"/>
    <n v="1377"/>
    <x v="0"/>
    <n v="2"/>
    <n v="3"/>
    <x v="0"/>
    <n v="1"/>
    <n v="437"/>
    <n v="4"/>
    <x v="1"/>
    <n v="74"/>
    <n v="3"/>
    <n v="2"/>
    <x v="0"/>
    <n v="3"/>
    <x v="0"/>
    <n v="4478"/>
    <n v="5242"/>
    <n v="1"/>
    <s v="Y"/>
    <s v="Yes"/>
    <n v="11"/>
    <n v="3"/>
    <n v="1"/>
    <n v="80"/>
    <n v="0"/>
    <n v="5"/>
    <n v="3"/>
    <n v="3"/>
    <n v="5"/>
    <n v="4"/>
    <n v="0"/>
    <n v="4"/>
  </r>
  <r>
    <n v="31"/>
    <x v="2"/>
    <x v="1"/>
    <s v="Travel_Rarely"/>
    <n v="691"/>
    <x v="0"/>
    <n v="7"/>
    <n v="3"/>
    <x v="3"/>
    <n v="1"/>
    <n v="438"/>
    <n v="4"/>
    <x v="1"/>
    <n v="73"/>
    <n v="3"/>
    <n v="2"/>
    <x v="0"/>
    <n v="4"/>
    <x v="2"/>
    <n v="7547"/>
    <n v="7143"/>
    <n v="4"/>
    <s v="Y"/>
    <s v="No"/>
    <n v="12"/>
    <n v="3"/>
    <n v="4"/>
    <n v="80"/>
    <n v="3"/>
    <n v="13"/>
    <n v="3"/>
    <n v="3"/>
    <n v="7"/>
    <n v="7"/>
    <n v="1"/>
    <n v="7"/>
  </r>
  <r>
    <n v="32"/>
    <x v="2"/>
    <x v="1"/>
    <s v="Travel_Rarely"/>
    <n v="1018"/>
    <x v="1"/>
    <n v="2"/>
    <n v="4"/>
    <x v="2"/>
    <n v="1"/>
    <n v="439"/>
    <n v="1"/>
    <x v="0"/>
    <n v="74"/>
    <n v="4"/>
    <n v="2"/>
    <x v="1"/>
    <n v="4"/>
    <x v="0"/>
    <n v="5055"/>
    <n v="10557"/>
    <n v="7"/>
    <s v="Y"/>
    <s v="No"/>
    <n v="16"/>
    <n v="3"/>
    <n v="3"/>
    <n v="80"/>
    <n v="0"/>
    <n v="10"/>
    <n v="0"/>
    <n v="2"/>
    <n v="7"/>
    <n v="7"/>
    <n v="0"/>
    <n v="7"/>
  </r>
  <r>
    <n v="28"/>
    <x v="2"/>
    <x v="0"/>
    <s v="Travel_Rarely"/>
    <n v="1157"/>
    <x v="1"/>
    <n v="2"/>
    <n v="4"/>
    <x v="2"/>
    <n v="1"/>
    <n v="440"/>
    <n v="1"/>
    <x v="1"/>
    <n v="84"/>
    <n v="1"/>
    <n v="1"/>
    <x v="1"/>
    <n v="4"/>
    <x v="1"/>
    <n v="3464"/>
    <n v="24737"/>
    <n v="5"/>
    <s v="Y"/>
    <s v="Yes"/>
    <n v="13"/>
    <n v="3"/>
    <n v="4"/>
    <n v="80"/>
    <n v="0"/>
    <n v="5"/>
    <n v="4"/>
    <n v="2"/>
    <n v="3"/>
    <n v="2"/>
    <n v="2"/>
    <n v="2"/>
  </r>
  <r>
    <n v="30"/>
    <x v="2"/>
    <x v="1"/>
    <s v="Travel_Rarely"/>
    <n v="1275"/>
    <x v="1"/>
    <n v="28"/>
    <n v="2"/>
    <x v="2"/>
    <n v="1"/>
    <n v="441"/>
    <n v="4"/>
    <x v="0"/>
    <n v="64"/>
    <n v="3"/>
    <n v="2"/>
    <x v="1"/>
    <n v="4"/>
    <x v="1"/>
    <n v="5775"/>
    <n v="11934"/>
    <n v="1"/>
    <s v="Y"/>
    <s v="No"/>
    <n v="13"/>
    <n v="3"/>
    <n v="4"/>
    <n v="80"/>
    <n v="2"/>
    <n v="11"/>
    <n v="2"/>
    <n v="3"/>
    <n v="10"/>
    <n v="8"/>
    <n v="1"/>
    <n v="9"/>
  </r>
  <r>
    <n v="31"/>
    <x v="2"/>
    <x v="1"/>
    <s v="Travel_Frequently"/>
    <n v="798"/>
    <x v="1"/>
    <n v="7"/>
    <n v="2"/>
    <x v="0"/>
    <n v="1"/>
    <n v="442"/>
    <n v="3"/>
    <x v="0"/>
    <n v="48"/>
    <n v="2"/>
    <n v="3"/>
    <x v="3"/>
    <n v="3"/>
    <x v="1"/>
    <n v="8943"/>
    <n v="14034"/>
    <n v="1"/>
    <s v="Y"/>
    <s v="No"/>
    <n v="24"/>
    <n v="4"/>
    <n v="1"/>
    <n v="80"/>
    <n v="1"/>
    <n v="10"/>
    <n v="2"/>
    <n v="3"/>
    <n v="10"/>
    <n v="9"/>
    <n v="8"/>
    <n v="9"/>
  </r>
  <r>
    <n v="39"/>
    <x v="0"/>
    <x v="1"/>
    <s v="Travel_Frequently"/>
    <n v="672"/>
    <x v="1"/>
    <n v="7"/>
    <n v="2"/>
    <x v="2"/>
    <n v="1"/>
    <n v="444"/>
    <n v="3"/>
    <x v="1"/>
    <n v="54"/>
    <n v="2"/>
    <n v="5"/>
    <x v="5"/>
    <n v="4"/>
    <x v="1"/>
    <n v="19272"/>
    <n v="21141"/>
    <n v="1"/>
    <s v="Y"/>
    <s v="No"/>
    <n v="15"/>
    <n v="3"/>
    <n v="1"/>
    <n v="80"/>
    <n v="1"/>
    <n v="21"/>
    <n v="2"/>
    <n v="3"/>
    <n v="21"/>
    <n v="9"/>
    <n v="13"/>
    <n v="3"/>
  </r>
  <r>
    <n v="39"/>
    <x v="0"/>
    <x v="0"/>
    <s v="Travel_Rarely"/>
    <n v="1162"/>
    <x v="0"/>
    <n v="3"/>
    <n v="2"/>
    <x v="2"/>
    <n v="1"/>
    <n v="445"/>
    <n v="4"/>
    <x v="0"/>
    <n v="41"/>
    <n v="3"/>
    <n v="2"/>
    <x v="0"/>
    <n v="3"/>
    <x v="1"/>
    <n v="5238"/>
    <n v="17778"/>
    <n v="4"/>
    <s v="Y"/>
    <s v="Yes"/>
    <n v="18"/>
    <n v="3"/>
    <n v="1"/>
    <n v="80"/>
    <n v="0"/>
    <n v="12"/>
    <n v="3"/>
    <n v="2"/>
    <n v="1"/>
    <n v="0"/>
    <n v="0"/>
    <n v="0"/>
  </r>
  <r>
    <n v="33"/>
    <x v="2"/>
    <x v="1"/>
    <s v="Travel_Frequently"/>
    <n v="508"/>
    <x v="0"/>
    <n v="10"/>
    <n v="3"/>
    <x v="3"/>
    <n v="1"/>
    <n v="446"/>
    <n v="2"/>
    <x v="1"/>
    <n v="46"/>
    <n v="2"/>
    <n v="2"/>
    <x v="0"/>
    <n v="4"/>
    <x v="0"/>
    <n v="4682"/>
    <n v="4317"/>
    <n v="3"/>
    <s v="Y"/>
    <s v="No"/>
    <n v="14"/>
    <n v="3"/>
    <n v="3"/>
    <n v="80"/>
    <n v="0"/>
    <n v="9"/>
    <n v="6"/>
    <n v="2"/>
    <n v="7"/>
    <n v="7"/>
    <n v="0"/>
    <n v="1"/>
  </r>
  <r>
    <n v="47"/>
    <x v="1"/>
    <x v="1"/>
    <s v="Travel_Rarely"/>
    <n v="1482"/>
    <x v="1"/>
    <n v="5"/>
    <n v="5"/>
    <x v="0"/>
    <n v="1"/>
    <n v="447"/>
    <n v="4"/>
    <x v="1"/>
    <n v="42"/>
    <n v="3"/>
    <n v="5"/>
    <x v="7"/>
    <n v="3"/>
    <x v="1"/>
    <n v="18300"/>
    <n v="16375"/>
    <n v="4"/>
    <s v="Y"/>
    <s v="No"/>
    <n v="11"/>
    <n v="3"/>
    <n v="2"/>
    <n v="80"/>
    <n v="1"/>
    <n v="21"/>
    <n v="2"/>
    <n v="3"/>
    <n v="3"/>
    <n v="2"/>
    <n v="1"/>
    <n v="1"/>
  </r>
  <r>
    <n v="43"/>
    <x v="0"/>
    <x v="1"/>
    <s v="Travel_Frequently"/>
    <n v="559"/>
    <x v="1"/>
    <n v="10"/>
    <n v="4"/>
    <x v="0"/>
    <n v="1"/>
    <n v="448"/>
    <n v="3"/>
    <x v="0"/>
    <n v="82"/>
    <n v="2"/>
    <n v="2"/>
    <x v="2"/>
    <n v="3"/>
    <x v="2"/>
    <n v="5257"/>
    <n v="6227"/>
    <n v="1"/>
    <s v="Y"/>
    <s v="No"/>
    <n v="11"/>
    <n v="3"/>
    <n v="2"/>
    <n v="80"/>
    <n v="1"/>
    <n v="9"/>
    <n v="3"/>
    <n v="4"/>
    <n v="9"/>
    <n v="7"/>
    <n v="0"/>
    <n v="0"/>
  </r>
  <r>
    <n v="27"/>
    <x v="2"/>
    <x v="1"/>
    <s v="Non-Travel"/>
    <n v="210"/>
    <x v="0"/>
    <n v="1"/>
    <n v="1"/>
    <x v="3"/>
    <n v="1"/>
    <n v="449"/>
    <n v="3"/>
    <x v="1"/>
    <n v="73"/>
    <n v="3"/>
    <n v="2"/>
    <x v="0"/>
    <n v="2"/>
    <x v="1"/>
    <n v="6349"/>
    <n v="22107"/>
    <n v="0"/>
    <s v="Y"/>
    <s v="Yes"/>
    <n v="13"/>
    <n v="3"/>
    <n v="4"/>
    <n v="80"/>
    <n v="1"/>
    <n v="6"/>
    <n v="0"/>
    <n v="3"/>
    <n v="5"/>
    <n v="4"/>
    <n v="1"/>
    <n v="4"/>
  </r>
  <r>
    <n v="54"/>
    <x v="1"/>
    <x v="1"/>
    <s v="Travel_Frequently"/>
    <n v="928"/>
    <x v="1"/>
    <n v="20"/>
    <n v="4"/>
    <x v="0"/>
    <n v="1"/>
    <n v="450"/>
    <n v="4"/>
    <x v="0"/>
    <n v="31"/>
    <n v="3"/>
    <n v="2"/>
    <x v="1"/>
    <n v="3"/>
    <x v="0"/>
    <n v="4869"/>
    <n v="16885"/>
    <n v="3"/>
    <s v="Y"/>
    <s v="No"/>
    <n v="12"/>
    <n v="3"/>
    <n v="4"/>
    <n v="80"/>
    <n v="0"/>
    <n v="20"/>
    <n v="4"/>
    <n v="2"/>
    <n v="4"/>
    <n v="3"/>
    <n v="0"/>
    <n v="3"/>
  </r>
  <r>
    <n v="43"/>
    <x v="0"/>
    <x v="1"/>
    <s v="Travel_Rarely"/>
    <n v="1001"/>
    <x v="1"/>
    <n v="7"/>
    <n v="3"/>
    <x v="0"/>
    <n v="1"/>
    <n v="451"/>
    <n v="3"/>
    <x v="0"/>
    <n v="43"/>
    <n v="3"/>
    <n v="3"/>
    <x v="4"/>
    <n v="1"/>
    <x v="1"/>
    <n v="9985"/>
    <n v="9262"/>
    <n v="8"/>
    <s v="Y"/>
    <s v="No"/>
    <n v="16"/>
    <n v="3"/>
    <n v="1"/>
    <n v="80"/>
    <n v="1"/>
    <n v="10"/>
    <n v="1"/>
    <n v="2"/>
    <n v="1"/>
    <n v="0"/>
    <n v="0"/>
    <n v="0"/>
  </r>
  <r>
    <n v="45"/>
    <x v="0"/>
    <x v="1"/>
    <s v="Travel_Rarely"/>
    <n v="549"/>
    <x v="1"/>
    <n v="8"/>
    <n v="4"/>
    <x v="1"/>
    <n v="1"/>
    <n v="452"/>
    <n v="4"/>
    <x v="1"/>
    <n v="75"/>
    <n v="3"/>
    <n v="2"/>
    <x v="1"/>
    <n v="4"/>
    <x v="1"/>
    <n v="3697"/>
    <n v="9278"/>
    <n v="9"/>
    <s v="Y"/>
    <s v="No"/>
    <n v="14"/>
    <n v="3"/>
    <n v="1"/>
    <n v="80"/>
    <n v="2"/>
    <n v="12"/>
    <n v="3"/>
    <n v="3"/>
    <n v="10"/>
    <n v="9"/>
    <n v="9"/>
    <n v="8"/>
  </r>
  <r>
    <n v="40"/>
    <x v="0"/>
    <x v="1"/>
    <s v="Travel_Rarely"/>
    <n v="1124"/>
    <x v="0"/>
    <n v="1"/>
    <n v="2"/>
    <x v="2"/>
    <n v="1"/>
    <n v="453"/>
    <n v="2"/>
    <x v="1"/>
    <n v="57"/>
    <n v="1"/>
    <n v="2"/>
    <x v="0"/>
    <n v="4"/>
    <x v="1"/>
    <n v="7457"/>
    <n v="13273"/>
    <n v="2"/>
    <s v="Y"/>
    <s v="Yes"/>
    <n v="22"/>
    <n v="4"/>
    <n v="3"/>
    <n v="80"/>
    <n v="3"/>
    <n v="6"/>
    <n v="2"/>
    <n v="2"/>
    <n v="4"/>
    <n v="3"/>
    <n v="0"/>
    <n v="2"/>
  </r>
  <r>
    <n v="29"/>
    <x v="2"/>
    <x v="0"/>
    <s v="Travel_Rarely"/>
    <n v="318"/>
    <x v="1"/>
    <n v="8"/>
    <n v="4"/>
    <x v="1"/>
    <n v="1"/>
    <n v="454"/>
    <n v="2"/>
    <x v="1"/>
    <n v="77"/>
    <n v="1"/>
    <n v="1"/>
    <x v="2"/>
    <n v="1"/>
    <x v="1"/>
    <n v="2119"/>
    <n v="4759"/>
    <n v="1"/>
    <s v="Y"/>
    <s v="Yes"/>
    <n v="11"/>
    <n v="3"/>
    <n v="4"/>
    <n v="80"/>
    <n v="0"/>
    <n v="7"/>
    <n v="4"/>
    <n v="2"/>
    <n v="7"/>
    <n v="7"/>
    <n v="0"/>
    <n v="7"/>
  </r>
  <r>
    <n v="29"/>
    <x v="2"/>
    <x v="1"/>
    <s v="Travel_Rarely"/>
    <n v="738"/>
    <x v="1"/>
    <n v="9"/>
    <n v="5"/>
    <x v="1"/>
    <n v="1"/>
    <n v="455"/>
    <n v="2"/>
    <x v="1"/>
    <n v="30"/>
    <n v="2"/>
    <n v="1"/>
    <x v="2"/>
    <n v="4"/>
    <x v="0"/>
    <n v="3983"/>
    <n v="7621"/>
    <n v="0"/>
    <s v="Y"/>
    <s v="No"/>
    <n v="17"/>
    <n v="3"/>
    <n v="3"/>
    <n v="80"/>
    <n v="0"/>
    <n v="4"/>
    <n v="2"/>
    <n v="3"/>
    <n v="3"/>
    <n v="2"/>
    <n v="2"/>
    <n v="2"/>
  </r>
  <r>
    <n v="30"/>
    <x v="2"/>
    <x v="1"/>
    <s v="Travel_Rarely"/>
    <n v="570"/>
    <x v="0"/>
    <n v="5"/>
    <n v="3"/>
    <x v="3"/>
    <n v="1"/>
    <n v="456"/>
    <n v="4"/>
    <x v="0"/>
    <n v="30"/>
    <n v="2"/>
    <n v="2"/>
    <x v="0"/>
    <n v="3"/>
    <x v="2"/>
    <n v="6118"/>
    <n v="5431"/>
    <n v="1"/>
    <s v="Y"/>
    <s v="No"/>
    <n v="13"/>
    <n v="3"/>
    <n v="3"/>
    <n v="80"/>
    <n v="3"/>
    <n v="10"/>
    <n v="2"/>
    <n v="3"/>
    <n v="10"/>
    <n v="9"/>
    <n v="1"/>
    <n v="2"/>
  </r>
  <r>
    <n v="27"/>
    <x v="2"/>
    <x v="1"/>
    <s v="Travel_Rarely"/>
    <n v="1130"/>
    <x v="0"/>
    <n v="8"/>
    <n v="4"/>
    <x v="3"/>
    <n v="1"/>
    <n v="458"/>
    <n v="2"/>
    <x v="0"/>
    <n v="56"/>
    <n v="3"/>
    <n v="2"/>
    <x v="0"/>
    <n v="2"/>
    <x v="1"/>
    <n v="6214"/>
    <n v="3415"/>
    <n v="1"/>
    <s v="Y"/>
    <s v="No"/>
    <n v="18"/>
    <n v="3"/>
    <n v="1"/>
    <n v="80"/>
    <n v="1"/>
    <n v="8"/>
    <n v="3"/>
    <n v="3"/>
    <n v="8"/>
    <n v="7"/>
    <n v="0"/>
    <n v="7"/>
  </r>
  <r>
    <n v="37"/>
    <x v="0"/>
    <x v="1"/>
    <s v="Travel_Rarely"/>
    <n v="1192"/>
    <x v="1"/>
    <n v="5"/>
    <n v="2"/>
    <x v="2"/>
    <n v="1"/>
    <n v="460"/>
    <n v="4"/>
    <x v="1"/>
    <n v="61"/>
    <n v="3"/>
    <n v="2"/>
    <x v="3"/>
    <n v="4"/>
    <x v="2"/>
    <n v="6347"/>
    <n v="23177"/>
    <n v="7"/>
    <s v="Y"/>
    <s v="No"/>
    <n v="16"/>
    <n v="3"/>
    <n v="3"/>
    <n v="80"/>
    <n v="2"/>
    <n v="8"/>
    <n v="2"/>
    <n v="2"/>
    <n v="6"/>
    <n v="2"/>
    <n v="0"/>
    <n v="4"/>
  </r>
  <r>
    <n v="38"/>
    <x v="0"/>
    <x v="1"/>
    <s v="Travel_Rarely"/>
    <n v="343"/>
    <x v="1"/>
    <n v="15"/>
    <n v="2"/>
    <x v="0"/>
    <n v="1"/>
    <n v="461"/>
    <n v="3"/>
    <x v="1"/>
    <n v="92"/>
    <n v="2"/>
    <n v="3"/>
    <x v="7"/>
    <n v="4"/>
    <x v="2"/>
    <n v="11510"/>
    <n v="15682"/>
    <n v="0"/>
    <s v="Y"/>
    <s v="Yes"/>
    <n v="14"/>
    <n v="3"/>
    <n v="2"/>
    <n v="80"/>
    <n v="1"/>
    <n v="12"/>
    <n v="3"/>
    <n v="3"/>
    <n v="11"/>
    <n v="10"/>
    <n v="2"/>
    <n v="9"/>
  </r>
  <r>
    <n v="31"/>
    <x v="2"/>
    <x v="1"/>
    <s v="Travel_Rarely"/>
    <n v="1232"/>
    <x v="1"/>
    <n v="7"/>
    <n v="4"/>
    <x v="2"/>
    <n v="1"/>
    <n v="462"/>
    <n v="3"/>
    <x v="0"/>
    <n v="39"/>
    <n v="3"/>
    <n v="3"/>
    <x v="3"/>
    <n v="4"/>
    <x v="0"/>
    <n v="7143"/>
    <n v="25713"/>
    <n v="1"/>
    <s v="Y"/>
    <s v="Yes"/>
    <n v="14"/>
    <n v="3"/>
    <n v="3"/>
    <n v="80"/>
    <n v="0"/>
    <n v="11"/>
    <n v="2"/>
    <n v="2"/>
    <n v="11"/>
    <n v="9"/>
    <n v="4"/>
    <n v="10"/>
  </r>
  <r>
    <n v="29"/>
    <x v="2"/>
    <x v="1"/>
    <s v="Travel_Rarely"/>
    <n v="144"/>
    <x v="0"/>
    <n v="10"/>
    <n v="1"/>
    <x v="3"/>
    <n v="1"/>
    <n v="463"/>
    <n v="4"/>
    <x v="0"/>
    <n v="39"/>
    <n v="2"/>
    <n v="2"/>
    <x v="0"/>
    <n v="2"/>
    <x v="2"/>
    <n v="8268"/>
    <n v="11866"/>
    <n v="1"/>
    <s v="Y"/>
    <s v="Yes"/>
    <n v="14"/>
    <n v="3"/>
    <n v="1"/>
    <n v="80"/>
    <n v="2"/>
    <n v="7"/>
    <n v="2"/>
    <n v="3"/>
    <n v="7"/>
    <n v="7"/>
    <n v="1"/>
    <n v="7"/>
  </r>
  <r>
    <n v="35"/>
    <x v="2"/>
    <x v="1"/>
    <s v="Travel_Rarely"/>
    <n v="1296"/>
    <x v="1"/>
    <n v="5"/>
    <n v="4"/>
    <x v="4"/>
    <n v="1"/>
    <n v="464"/>
    <n v="3"/>
    <x v="1"/>
    <n v="62"/>
    <n v="3"/>
    <n v="3"/>
    <x v="3"/>
    <n v="2"/>
    <x v="0"/>
    <n v="8095"/>
    <n v="18264"/>
    <n v="0"/>
    <s v="Y"/>
    <s v="No"/>
    <n v="13"/>
    <n v="3"/>
    <n v="4"/>
    <n v="80"/>
    <n v="0"/>
    <n v="17"/>
    <n v="5"/>
    <n v="3"/>
    <n v="16"/>
    <n v="6"/>
    <n v="0"/>
    <n v="13"/>
  </r>
  <r>
    <n v="23"/>
    <x v="3"/>
    <x v="1"/>
    <s v="Travel_Rarely"/>
    <n v="1309"/>
    <x v="1"/>
    <n v="26"/>
    <n v="1"/>
    <x v="0"/>
    <n v="1"/>
    <n v="465"/>
    <n v="3"/>
    <x v="1"/>
    <n v="83"/>
    <n v="3"/>
    <n v="1"/>
    <x v="1"/>
    <n v="4"/>
    <x v="2"/>
    <n v="2904"/>
    <n v="16092"/>
    <n v="1"/>
    <s v="Y"/>
    <s v="No"/>
    <n v="12"/>
    <n v="3"/>
    <n v="3"/>
    <n v="80"/>
    <n v="2"/>
    <n v="4"/>
    <n v="2"/>
    <n v="2"/>
    <n v="4"/>
    <n v="2"/>
    <n v="0"/>
    <n v="2"/>
  </r>
  <r>
    <n v="41"/>
    <x v="0"/>
    <x v="1"/>
    <s v="Travel_Rarely"/>
    <n v="483"/>
    <x v="1"/>
    <n v="6"/>
    <n v="3"/>
    <x v="2"/>
    <n v="1"/>
    <n v="466"/>
    <n v="4"/>
    <x v="1"/>
    <n v="95"/>
    <n v="2"/>
    <n v="2"/>
    <x v="3"/>
    <n v="2"/>
    <x v="0"/>
    <n v="6032"/>
    <n v="10110"/>
    <n v="6"/>
    <s v="Y"/>
    <s v="Yes"/>
    <n v="15"/>
    <n v="3"/>
    <n v="4"/>
    <n v="80"/>
    <n v="0"/>
    <n v="8"/>
    <n v="3"/>
    <n v="3"/>
    <n v="5"/>
    <n v="4"/>
    <n v="1"/>
    <n v="2"/>
  </r>
  <r>
    <n v="47"/>
    <x v="1"/>
    <x v="1"/>
    <s v="Travel_Frequently"/>
    <n v="1309"/>
    <x v="0"/>
    <n v="4"/>
    <n v="1"/>
    <x v="2"/>
    <n v="1"/>
    <n v="467"/>
    <n v="2"/>
    <x v="1"/>
    <n v="99"/>
    <n v="3"/>
    <n v="2"/>
    <x v="6"/>
    <n v="3"/>
    <x v="0"/>
    <n v="2976"/>
    <n v="25751"/>
    <n v="3"/>
    <s v="Y"/>
    <s v="No"/>
    <n v="19"/>
    <n v="3"/>
    <n v="1"/>
    <n v="80"/>
    <n v="0"/>
    <n v="5"/>
    <n v="3"/>
    <n v="3"/>
    <n v="0"/>
    <n v="0"/>
    <n v="0"/>
    <n v="0"/>
  </r>
  <r>
    <n v="42"/>
    <x v="0"/>
    <x v="1"/>
    <s v="Travel_Rarely"/>
    <n v="810"/>
    <x v="1"/>
    <n v="23"/>
    <n v="5"/>
    <x v="0"/>
    <n v="1"/>
    <n v="468"/>
    <n v="1"/>
    <x v="0"/>
    <n v="44"/>
    <n v="3"/>
    <n v="4"/>
    <x v="7"/>
    <n v="4"/>
    <x v="0"/>
    <n v="15992"/>
    <n v="15901"/>
    <n v="2"/>
    <s v="Y"/>
    <s v="No"/>
    <n v="14"/>
    <n v="3"/>
    <n v="2"/>
    <n v="80"/>
    <n v="0"/>
    <n v="16"/>
    <n v="2"/>
    <n v="3"/>
    <n v="1"/>
    <n v="0"/>
    <n v="0"/>
    <n v="0"/>
  </r>
  <r>
    <n v="29"/>
    <x v="2"/>
    <x v="1"/>
    <s v="Non-Travel"/>
    <n v="746"/>
    <x v="0"/>
    <n v="2"/>
    <n v="3"/>
    <x v="0"/>
    <n v="1"/>
    <n v="469"/>
    <n v="4"/>
    <x v="1"/>
    <n v="61"/>
    <n v="3"/>
    <n v="2"/>
    <x v="0"/>
    <n v="3"/>
    <x v="1"/>
    <n v="4649"/>
    <n v="16928"/>
    <n v="1"/>
    <s v="Y"/>
    <s v="No"/>
    <n v="14"/>
    <n v="3"/>
    <n v="1"/>
    <n v="80"/>
    <n v="1"/>
    <n v="4"/>
    <n v="3"/>
    <n v="2"/>
    <n v="4"/>
    <n v="3"/>
    <n v="0"/>
    <n v="2"/>
  </r>
  <r>
    <n v="42"/>
    <x v="0"/>
    <x v="1"/>
    <s v="Travel_Rarely"/>
    <n v="544"/>
    <x v="2"/>
    <n v="2"/>
    <n v="1"/>
    <x v="4"/>
    <n v="1"/>
    <n v="470"/>
    <n v="3"/>
    <x v="1"/>
    <n v="52"/>
    <n v="3"/>
    <n v="1"/>
    <x v="8"/>
    <n v="3"/>
    <x v="2"/>
    <n v="2696"/>
    <n v="24017"/>
    <n v="0"/>
    <s v="Y"/>
    <s v="Yes"/>
    <n v="11"/>
    <n v="3"/>
    <n v="3"/>
    <n v="80"/>
    <n v="1"/>
    <n v="4"/>
    <n v="5"/>
    <n v="3"/>
    <n v="3"/>
    <n v="2"/>
    <n v="1"/>
    <n v="0"/>
  </r>
  <r>
    <n v="32"/>
    <x v="2"/>
    <x v="1"/>
    <s v="Travel_Rarely"/>
    <n v="1062"/>
    <x v="1"/>
    <n v="2"/>
    <n v="3"/>
    <x v="2"/>
    <n v="1"/>
    <n v="471"/>
    <n v="3"/>
    <x v="0"/>
    <n v="75"/>
    <n v="3"/>
    <n v="1"/>
    <x v="2"/>
    <n v="2"/>
    <x v="1"/>
    <n v="2370"/>
    <n v="3956"/>
    <n v="1"/>
    <s v="Y"/>
    <s v="No"/>
    <n v="13"/>
    <n v="3"/>
    <n v="3"/>
    <n v="80"/>
    <n v="1"/>
    <n v="8"/>
    <n v="4"/>
    <n v="3"/>
    <n v="8"/>
    <n v="0"/>
    <n v="0"/>
    <n v="7"/>
  </r>
  <r>
    <n v="48"/>
    <x v="1"/>
    <x v="1"/>
    <s v="Travel_Rarely"/>
    <n v="530"/>
    <x v="0"/>
    <n v="29"/>
    <n v="1"/>
    <x v="2"/>
    <n v="1"/>
    <n v="473"/>
    <n v="1"/>
    <x v="0"/>
    <n v="91"/>
    <n v="3"/>
    <n v="3"/>
    <x v="5"/>
    <n v="3"/>
    <x v="1"/>
    <n v="12504"/>
    <n v="23978"/>
    <n v="3"/>
    <s v="Y"/>
    <s v="No"/>
    <n v="21"/>
    <n v="4"/>
    <n v="2"/>
    <n v="80"/>
    <n v="1"/>
    <n v="15"/>
    <n v="3"/>
    <n v="1"/>
    <n v="0"/>
    <n v="0"/>
    <n v="0"/>
    <n v="0"/>
  </r>
  <r>
    <n v="37"/>
    <x v="0"/>
    <x v="1"/>
    <s v="Travel_Rarely"/>
    <n v="1319"/>
    <x v="1"/>
    <n v="6"/>
    <n v="3"/>
    <x v="2"/>
    <n v="1"/>
    <n v="474"/>
    <n v="3"/>
    <x v="1"/>
    <n v="51"/>
    <n v="4"/>
    <n v="2"/>
    <x v="1"/>
    <n v="1"/>
    <x v="2"/>
    <n v="5974"/>
    <n v="17001"/>
    <n v="4"/>
    <s v="Y"/>
    <s v="Yes"/>
    <n v="13"/>
    <n v="3"/>
    <n v="1"/>
    <n v="80"/>
    <n v="2"/>
    <n v="13"/>
    <n v="2"/>
    <n v="3"/>
    <n v="7"/>
    <n v="7"/>
    <n v="6"/>
    <n v="7"/>
  </r>
  <r>
    <n v="30"/>
    <x v="2"/>
    <x v="1"/>
    <s v="Non-Travel"/>
    <n v="641"/>
    <x v="0"/>
    <n v="25"/>
    <n v="2"/>
    <x v="4"/>
    <n v="1"/>
    <n v="475"/>
    <n v="4"/>
    <x v="0"/>
    <n v="85"/>
    <n v="3"/>
    <n v="2"/>
    <x v="0"/>
    <n v="3"/>
    <x v="1"/>
    <n v="4736"/>
    <n v="6069"/>
    <n v="7"/>
    <s v="Y"/>
    <s v="Yes"/>
    <n v="12"/>
    <n v="3"/>
    <n v="2"/>
    <n v="80"/>
    <n v="1"/>
    <n v="4"/>
    <n v="2"/>
    <n v="4"/>
    <n v="2"/>
    <n v="2"/>
    <n v="2"/>
    <n v="2"/>
  </r>
  <r>
    <n v="26"/>
    <x v="2"/>
    <x v="1"/>
    <s v="Travel_Rarely"/>
    <n v="933"/>
    <x v="0"/>
    <n v="1"/>
    <n v="3"/>
    <x v="0"/>
    <n v="1"/>
    <n v="476"/>
    <n v="3"/>
    <x v="1"/>
    <n v="57"/>
    <n v="3"/>
    <n v="2"/>
    <x v="0"/>
    <n v="3"/>
    <x v="1"/>
    <n v="5296"/>
    <n v="20156"/>
    <n v="1"/>
    <s v="Y"/>
    <s v="No"/>
    <n v="17"/>
    <n v="3"/>
    <n v="2"/>
    <n v="80"/>
    <n v="1"/>
    <n v="8"/>
    <n v="3"/>
    <n v="3"/>
    <n v="8"/>
    <n v="7"/>
    <n v="7"/>
    <n v="7"/>
  </r>
  <r>
    <n v="42"/>
    <x v="0"/>
    <x v="1"/>
    <s v="Travel_Rarely"/>
    <n v="1332"/>
    <x v="1"/>
    <n v="2"/>
    <n v="4"/>
    <x v="1"/>
    <n v="1"/>
    <n v="477"/>
    <n v="1"/>
    <x v="1"/>
    <n v="98"/>
    <n v="2"/>
    <n v="2"/>
    <x v="4"/>
    <n v="4"/>
    <x v="0"/>
    <n v="6781"/>
    <n v="17078"/>
    <n v="3"/>
    <s v="Y"/>
    <s v="No"/>
    <n v="23"/>
    <n v="4"/>
    <n v="2"/>
    <n v="80"/>
    <n v="0"/>
    <n v="14"/>
    <n v="6"/>
    <n v="3"/>
    <n v="1"/>
    <n v="0"/>
    <n v="0"/>
    <n v="0"/>
  </r>
  <r>
    <n v="21"/>
    <x v="3"/>
    <x v="0"/>
    <s v="Travel_Frequently"/>
    <n v="756"/>
    <x v="0"/>
    <n v="1"/>
    <n v="1"/>
    <x v="4"/>
    <n v="1"/>
    <n v="478"/>
    <n v="1"/>
    <x v="0"/>
    <n v="99"/>
    <n v="2"/>
    <n v="1"/>
    <x v="6"/>
    <n v="2"/>
    <x v="0"/>
    <n v="2174"/>
    <n v="9150"/>
    <n v="1"/>
    <s v="Y"/>
    <s v="Yes"/>
    <n v="11"/>
    <n v="3"/>
    <n v="3"/>
    <n v="80"/>
    <n v="0"/>
    <n v="3"/>
    <n v="3"/>
    <n v="3"/>
    <n v="3"/>
    <n v="2"/>
    <n v="1"/>
    <n v="2"/>
  </r>
  <r>
    <n v="36"/>
    <x v="0"/>
    <x v="1"/>
    <s v="Non-Travel"/>
    <n v="845"/>
    <x v="0"/>
    <n v="1"/>
    <n v="5"/>
    <x v="2"/>
    <n v="1"/>
    <n v="479"/>
    <n v="4"/>
    <x v="0"/>
    <n v="45"/>
    <n v="3"/>
    <n v="2"/>
    <x v="0"/>
    <n v="4"/>
    <x v="0"/>
    <n v="6653"/>
    <n v="15276"/>
    <n v="4"/>
    <s v="Y"/>
    <s v="No"/>
    <n v="15"/>
    <n v="3"/>
    <n v="2"/>
    <n v="80"/>
    <n v="0"/>
    <n v="7"/>
    <n v="6"/>
    <n v="3"/>
    <n v="1"/>
    <n v="0"/>
    <n v="0"/>
    <n v="0"/>
  </r>
  <r>
    <n v="36"/>
    <x v="0"/>
    <x v="1"/>
    <s v="Travel_Frequently"/>
    <n v="541"/>
    <x v="0"/>
    <n v="3"/>
    <n v="4"/>
    <x v="2"/>
    <n v="1"/>
    <n v="481"/>
    <n v="1"/>
    <x v="1"/>
    <n v="48"/>
    <n v="2"/>
    <n v="3"/>
    <x v="0"/>
    <n v="4"/>
    <x v="1"/>
    <n v="9699"/>
    <n v="7246"/>
    <n v="4"/>
    <s v="Y"/>
    <s v="No"/>
    <n v="11"/>
    <n v="3"/>
    <n v="1"/>
    <n v="80"/>
    <n v="1"/>
    <n v="16"/>
    <n v="2"/>
    <n v="3"/>
    <n v="13"/>
    <n v="9"/>
    <n v="1"/>
    <n v="12"/>
  </r>
  <r>
    <n v="57"/>
    <x v="1"/>
    <x v="1"/>
    <s v="Travel_Rarely"/>
    <n v="593"/>
    <x v="1"/>
    <n v="1"/>
    <n v="4"/>
    <x v="2"/>
    <n v="1"/>
    <n v="482"/>
    <n v="4"/>
    <x v="1"/>
    <n v="88"/>
    <n v="3"/>
    <n v="2"/>
    <x v="4"/>
    <n v="3"/>
    <x v="1"/>
    <n v="6755"/>
    <n v="2967"/>
    <n v="2"/>
    <s v="Y"/>
    <s v="No"/>
    <n v="11"/>
    <n v="3"/>
    <n v="3"/>
    <n v="80"/>
    <n v="0"/>
    <n v="15"/>
    <n v="2"/>
    <n v="3"/>
    <n v="3"/>
    <n v="2"/>
    <n v="1"/>
    <n v="2"/>
  </r>
  <r>
    <n v="40"/>
    <x v="0"/>
    <x v="1"/>
    <s v="Travel_Rarely"/>
    <n v="1171"/>
    <x v="1"/>
    <n v="10"/>
    <n v="4"/>
    <x v="0"/>
    <n v="1"/>
    <n v="483"/>
    <n v="4"/>
    <x v="0"/>
    <n v="46"/>
    <n v="4"/>
    <n v="1"/>
    <x v="2"/>
    <n v="3"/>
    <x v="1"/>
    <n v="2213"/>
    <n v="22495"/>
    <n v="3"/>
    <s v="Y"/>
    <s v="Yes"/>
    <n v="13"/>
    <n v="3"/>
    <n v="3"/>
    <n v="80"/>
    <n v="1"/>
    <n v="10"/>
    <n v="3"/>
    <n v="3"/>
    <n v="7"/>
    <n v="7"/>
    <n v="1"/>
    <n v="7"/>
  </r>
  <r>
    <n v="21"/>
    <x v="3"/>
    <x v="1"/>
    <s v="Non-Travel"/>
    <n v="895"/>
    <x v="0"/>
    <n v="9"/>
    <n v="2"/>
    <x v="2"/>
    <n v="1"/>
    <n v="484"/>
    <n v="1"/>
    <x v="1"/>
    <n v="39"/>
    <n v="3"/>
    <n v="1"/>
    <x v="6"/>
    <n v="4"/>
    <x v="0"/>
    <n v="2610"/>
    <n v="2851"/>
    <n v="1"/>
    <s v="Y"/>
    <s v="No"/>
    <n v="24"/>
    <n v="4"/>
    <n v="3"/>
    <n v="80"/>
    <n v="0"/>
    <n v="3"/>
    <n v="3"/>
    <n v="2"/>
    <n v="3"/>
    <n v="2"/>
    <n v="2"/>
    <n v="2"/>
  </r>
  <r>
    <n v="33"/>
    <x v="2"/>
    <x v="0"/>
    <s v="Travel_Rarely"/>
    <n v="350"/>
    <x v="0"/>
    <n v="5"/>
    <n v="3"/>
    <x v="3"/>
    <n v="1"/>
    <n v="485"/>
    <n v="4"/>
    <x v="0"/>
    <n v="34"/>
    <n v="3"/>
    <n v="1"/>
    <x v="6"/>
    <n v="3"/>
    <x v="0"/>
    <n v="2851"/>
    <n v="9150"/>
    <n v="1"/>
    <s v="Y"/>
    <s v="Yes"/>
    <n v="13"/>
    <n v="3"/>
    <n v="2"/>
    <n v="80"/>
    <n v="0"/>
    <n v="1"/>
    <n v="2"/>
    <n v="3"/>
    <n v="1"/>
    <n v="0"/>
    <n v="0"/>
    <n v="0"/>
  </r>
  <r>
    <n v="37"/>
    <x v="0"/>
    <x v="1"/>
    <s v="Travel_Rarely"/>
    <n v="921"/>
    <x v="1"/>
    <n v="10"/>
    <n v="3"/>
    <x v="2"/>
    <n v="1"/>
    <n v="486"/>
    <n v="3"/>
    <x v="0"/>
    <n v="98"/>
    <n v="3"/>
    <n v="1"/>
    <x v="2"/>
    <n v="1"/>
    <x v="1"/>
    <n v="3452"/>
    <n v="17663"/>
    <n v="6"/>
    <s v="Y"/>
    <s v="No"/>
    <n v="20"/>
    <n v="4"/>
    <n v="2"/>
    <n v="80"/>
    <n v="1"/>
    <n v="17"/>
    <n v="3"/>
    <n v="3"/>
    <n v="5"/>
    <n v="4"/>
    <n v="0"/>
    <n v="3"/>
  </r>
  <r>
    <n v="46"/>
    <x v="1"/>
    <x v="1"/>
    <s v="Non-Travel"/>
    <n v="1144"/>
    <x v="1"/>
    <n v="7"/>
    <n v="4"/>
    <x v="2"/>
    <n v="1"/>
    <n v="487"/>
    <n v="3"/>
    <x v="0"/>
    <n v="30"/>
    <n v="3"/>
    <n v="2"/>
    <x v="3"/>
    <n v="3"/>
    <x v="1"/>
    <n v="5258"/>
    <n v="16044"/>
    <n v="2"/>
    <s v="Y"/>
    <s v="No"/>
    <n v="14"/>
    <n v="3"/>
    <n v="3"/>
    <n v="80"/>
    <n v="0"/>
    <n v="7"/>
    <n v="2"/>
    <n v="4"/>
    <n v="1"/>
    <n v="0"/>
    <n v="0"/>
    <n v="0"/>
  </r>
  <r>
    <n v="41"/>
    <x v="0"/>
    <x v="0"/>
    <s v="Travel_Frequently"/>
    <n v="143"/>
    <x v="0"/>
    <n v="4"/>
    <n v="3"/>
    <x v="3"/>
    <n v="1"/>
    <n v="488"/>
    <n v="1"/>
    <x v="1"/>
    <n v="56"/>
    <n v="3"/>
    <n v="2"/>
    <x v="0"/>
    <n v="2"/>
    <x v="0"/>
    <n v="9355"/>
    <n v="9558"/>
    <n v="1"/>
    <s v="Y"/>
    <s v="No"/>
    <n v="18"/>
    <n v="3"/>
    <n v="3"/>
    <n v="80"/>
    <n v="0"/>
    <n v="8"/>
    <n v="5"/>
    <n v="3"/>
    <n v="8"/>
    <n v="7"/>
    <n v="7"/>
    <n v="7"/>
  </r>
  <r>
    <n v="50"/>
    <x v="1"/>
    <x v="1"/>
    <s v="Travel_Rarely"/>
    <n v="1046"/>
    <x v="1"/>
    <n v="10"/>
    <n v="3"/>
    <x v="4"/>
    <n v="1"/>
    <n v="491"/>
    <n v="4"/>
    <x v="1"/>
    <n v="100"/>
    <n v="2"/>
    <n v="3"/>
    <x v="4"/>
    <n v="4"/>
    <x v="0"/>
    <n v="10496"/>
    <n v="2755"/>
    <n v="6"/>
    <s v="Y"/>
    <s v="No"/>
    <n v="15"/>
    <n v="3"/>
    <n v="4"/>
    <n v="80"/>
    <n v="0"/>
    <n v="20"/>
    <n v="2"/>
    <n v="3"/>
    <n v="4"/>
    <n v="3"/>
    <n v="1"/>
    <n v="3"/>
  </r>
  <r>
    <n v="40"/>
    <x v="0"/>
    <x v="0"/>
    <s v="Travel_Rarely"/>
    <n v="575"/>
    <x v="0"/>
    <n v="22"/>
    <n v="2"/>
    <x v="3"/>
    <n v="1"/>
    <n v="492"/>
    <n v="3"/>
    <x v="1"/>
    <n v="68"/>
    <n v="2"/>
    <n v="2"/>
    <x v="0"/>
    <n v="3"/>
    <x v="1"/>
    <n v="6380"/>
    <n v="6110"/>
    <n v="2"/>
    <s v="Y"/>
    <s v="Yes"/>
    <n v="12"/>
    <n v="3"/>
    <n v="1"/>
    <n v="80"/>
    <n v="2"/>
    <n v="8"/>
    <n v="6"/>
    <n v="3"/>
    <n v="6"/>
    <n v="4"/>
    <n v="1"/>
    <n v="0"/>
  </r>
  <r>
    <n v="31"/>
    <x v="2"/>
    <x v="1"/>
    <s v="Travel_Rarely"/>
    <n v="408"/>
    <x v="1"/>
    <n v="9"/>
    <n v="4"/>
    <x v="0"/>
    <n v="1"/>
    <n v="493"/>
    <n v="3"/>
    <x v="1"/>
    <n v="42"/>
    <n v="2"/>
    <n v="1"/>
    <x v="1"/>
    <n v="2"/>
    <x v="0"/>
    <n v="2657"/>
    <n v="7551"/>
    <n v="0"/>
    <s v="Y"/>
    <s v="Yes"/>
    <n v="16"/>
    <n v="3"/>
    <n v="4"/>
    <n v="80"/>
    <n v="0"/>
    <n v="3"/>
    <n v="5"/>
    <n v="3"/>
    <n v="2"/>
    <n v="2"/>
    <n v="2"/>
    <n v="2"/>
  </r>
  <r>
    <n v="21"/>
    <x v="3"/>
    <x v="0"/>
    <s v="Travel_Rarely"/>
    <n v="156"/>
    <x v="0"/>
    <n v="12"/>
    <n v="3"/>
    <x v="0"/>
    <n v="1"/>
    <n v="494"/>
    <n v="3"/>
    <x v="0"/>
    <n v="90"/>
    <n v="4"/>
    <n v="1"/>
    <x v="6"/>
    <n v="2"/>
    <x v="0"/>
    <n v="2716"/>
    <n v="25422"/>
    <n v="1"/>
    <s v="Y"/>
    <s v="No"/>
    <n v="15"/>
    <n v="3"/>
    <n v="4"/>
    <n v="80"/>
    <n v="0"/>
    <n v="1"/>
    <n v="0"/>
    <n v="3"/>
    <n v="1"/>
    <n v="0"/>
    <n v="0"/>
    <n v="0"/>
  </r>
  <r>
    <n v="29"/>
    <x v="2"/>
    <x v="1"/>
    <s v="Travel_Rarely"/>
    <n v="1283"/>
    <x v="1"/>
    <n v="23"/>
    <n v="3"/>
    <x v="0"/>
    <n v="1"/>
    <n v="495"/>
    <n v="4"/>
    <x v="1"/>
    <n v="54"/>
    <n v="3"/>
    <n v="1"/>
    <x v="1"/>
    <n v="4"/>
    <x v="0"/>
    <n v="2201"/>
    <n v="18168"/>
    <n v="9"/>
    <s v="Y"/>
    <s v="No"/>
    <n v="16"/>
    <n v="3"/>
    <n v="4"/>
    <n v="80"/>
    <n v="0"/>
    <n v="6"/>
    <n v="4"/>
    <n v="3"/>
    <n v="3"/>
    <n v="2"/>
    <n v="1"/>
    <n v="2"/>
  </r>
  <r>
    <n v="35"/>
    <x v="2"/>
    <x v="1"/>
    <s v="Travel_Rarely"/>
    <n v="755"/>
    <x v="1"/>
    <n v="9"/>
    <n v="4"/>
    <x v="0"/>
    <n v="1"/>
    <n v="496"/>
    <n v="3"/>
    <x v="1"/>
    <n v="97"/>
    <n v="2"/>
    <n v="2"/>
    <x v="4"/>
    <n v="2"/>
    <x v="0"/>
    <n v="6540"/>
    <n v="19394"/>
    <n v="9"/>
    <s v="Y"/>
    <s v="No"/>
    <n v="19"/>
    <n v="3"/>
    <n v="3"/>
    <n v="80"/>
    <n v="0"/>
    <n v="10"/>
    <n v="5"/>
    <n v="3"/>
    <n v="1"/>
    <n v="1"/>
    <n v="0"/>
    <n v="0"/>
  </r>
  <r>
    <n v="27"/>
    <x v="2"/>
    <x v="1"/>
    <s v="Travel_Rarely"/>
    <n v="1469"/>
    <x v="1"/>
    <n v="1"/>
    <n v="2"/>
    <x v="2"/>
    <n v="1"/>
    <n v="497"/>
    <n v="4"/>
    <x v="1"/>
    <n v="82"/>
    <n v="3"/>
    <n v="1"/>
    <x v="2"/>
    <n v="2"/>
    <x v="2"/>
    <n v="3816"/>
    <n v="17881"/>
    <n v="1"/>
    <s v="Y"/>
    <s v="No"/>
    <n v="11"/>
    <n v="3"/>
    <n v="2"/>
    <n v="80"/>
    <n v="1"/>
    <n v="5"/>
    <n v="2"/>
    <n v="3"/>
    <n v="5"/>
    <n v="2"/>
    <n v="0"/>
    <n v="4"/>
  </r>
  <r>
    <n v="28"/>
    <x v="2"/>
    <x v="1"/>
    <s v="Travel_Rarely"/>
    <n v="304"/>
    <x v="0"/>
    <n v="9"/>
    <n v="4"/>
    <x v="0"/>
    <n v="1"/>
    <n v="498"/>
    <n v="2"/>
    <x v="1"/>
    <n v="92"/>
    <n v="3"/>
    <n v="2"/>
    <x v="0"/>
    <n v="4"/>
    <x v="0"/>
    <n v="5253"/>
    <n v="20750"/>
    <n v="1"/>
    <s v="Y"/>
    <s v="No"/>
    <n v="16"/>
    <n v="3"/>
    <n v="4"/>
    <n v="80"/>
    <n v="0"/>
    <n v="7"/>
    <n v="1"/>
    <n v="3"/>
    <n v="7"/>
    <n v="5"/>
    <n v="0"/>
    <n v="7"/>
  </r>
  <r>
    <n v="49"/>
    <x v="1"/>
    <x v="1"/>
    <s v="Travel_Rarely"/>
    <n v="1261"/>
    <x v="1"/>
    <n v="7"/>
    <n v="3"/>
    <x v="1"/>
    <n v="1"/>
    <n v="499"/>
    <n v="2"/>
    <x v="1"/>
    <n v="31"/>
    <n v="2"/>
    <n v="3"/>
    <x v="4"/>
    <n v="3"/>
    <x v="0"/>
    <n v="10965"/>
    <n v="12066"/>
    <n v="8"/>
    <s v="Y"/>
    <s v="No"/>
    <n v="24"/>
    <n v="4"/>
    <n v="3"/>
    <n v="80"/>
    <n v="0"/>
    <n v="26"/>
    <n v="2"/>
    <n v="3"/>
    <n v="5"/>
    <n v="2"/>
    <n v="0"/>
    <n v="0"/>
  </r>
  <r>
    <n v="51"/>
    <x v="1"/>
    <x v="1"/>
    <s v="Travel_Rarely"/>
    <n v="1178"/>
    <x v="0"/>
    <n v="14"/>
    <n v="2"/>
    <x v="0"/>
    <n v="1"/>
    <n v="500"/>
    <n v="3"/>
    <x v="0"/>
    <n v="87"/>
    <n v="3"/>
    <n v="2"/>
    <x v="0"/>
    <n v="4"/>
    <x v="1"/>
    <n v="4936"/>
    <n v="14862"/>
    <n v="4"/>
    <s v="Y"/>
    <s v="No"/>
    <n v="11"/>
    <n v="3"/>
    <n v="3"/>
    <n v="80"/>
    <n v="1"/>
    <n v="18"/>
    <n v="2"/>
    <n v="2"/>
    <n v="7"/>
    <n v="7"/>
    <n v="0"/>
    <n v="7"/>
  </r>
  <r>
    <n v="36"/>
    <x v="0"/>
    <x v="1"/>
    <s v="Travel_Rarely"/>
    <n v="329"/>
    <x v="1"/>
    <n v="2"/>
    <n v="3"/>
    <x v="0"/>
    <n v="1"/>
    <n v="501"/>
    <n v="4"/>
    <x v="0"/>
    <n v="96"/>
    <n v="3"/>
    <n v="1"/>
    <x v="1"/>
    <n v="3"/>
    <x v="1"/>
    <n v="2543"/>
    <n v="11868"/>
    <n v="4"/>
    <s v="Y"/>
    <s v="No"/>
    <n v="13"/>
    <n v="3"/>
    <n v="2"/>
    <n v="80"/>
    <n v="1"/>
    <n v="6"/>
    <n v="3"/>
    <n v="3"/>
    <n v="2"/>
    <n v="2"/>
    <n v="2"/>
    <n v="2"/>
  </r>
  <r>
    <n v="34"/>
    <x v="2"/>
    <x v="0"/>
    <s v="Non-Travel"/>
    <n v="1362"/>
    <x v="0"/>
    <n v="19"/>
    <n v="3"/>
    <x v="3"/>
    <n v="1"/>
    <n v="502"/>
    <n v="1"/>
    <x v="1"/>
    <n v="67"/>
    <n v="4"/>
    <n v="2"/>
    <x v="0"/>
    <n v="4"/>
    <x v="0"/>
    <n v="5304"/>
    <n v="4652"/>
    <n v="8"/>
    <s v="Y"/>
    <s v="Yes"/>
    <n v="13"/>
    <n v="3"/>
    <n v="2"/>
    <n v="80"/>
    <n v="0"/>
    <n v="9"/>
    <n v="3"/>
    <n v="2"/>
    <n v="5"/>
    <n v="2"/>
    <n v="0"/>
    <n v="4"/>
  </r>
  <r>
    <n v="55"/>
    <x v="1"/>
    <x v="1"/>
    <s v="Travel_Rarely"/>
    <n v="1311"/>
    <x v="1"/>
    <n v="2"/>
    <n v="3"/>
    <x v="0"/>
    <n v="1"/>
    <n v="505"/>
    <n v="3"/>
    <x v="0"/>
    <n v="97"/>
    <n v="3"/>
    <n v="4"/>
    <x v="5"/>
    <n v="4"/>
    <x v="0"/>
    <n v="16659"/>
    <n v="23258"/>
    <n v="2"/>
    <s v="Y"/>
    <s v="Yes"/>
    <n v="13"/>
    <n v="3"/>
    <n v="3"/>
    <n v="80"/>
    <n v="0"/>
    <n v="30"/>
    <n v="2"/>
    <n v="3"/>
    <n v="5"/>
    <n v="4"/>
    <n v="1"/>
    <n v="2"/>
  </r>
  <r>
    <n v="24"/>
    <x v="3"/>
    <x v="1"/>
    <s v="Travel_Rarely"/>
    <n v="1371"/>
    <x v="0"/>
    <n v="10"/>
    <n v="4"/>
    <x v="3"/>
    <n v="1"/>
    <n v="507"/>
    <n v="4"/>
    <x v="0"/>
    <n v="77"/>
    <n v="3"/>
    <n v="2"/>
    <x v="0"/>
    <n v="3"/>
    <x v="2"/>
    <n v="4260"/>
    <n v="5915"/>
    <n v="1"/>
    <s v="Y"/>
    <s v="Yes"/>
    <n v="12"/>
    <n v="3"/>
    <n v="4"/>
    <n v="80"/>
    <n v="1"/>
    <n v="5"/>
    <n v="2"/>
    <n v="4"/>
    <n v="5"/>
    <n v="2"/>
    <n v="0"/>
    <n v="3"/>
  </r>
  <r>
    <n v="30"/>
    <x v="2"/>
    <x v="1"/>
    <s v="Travel_Rarely"/>
    <n v="202"/>
    <x v="0"/>
    <n v="2"/>
    <n v="1"/>
    <x v="4"/>
    <n v="1"/>
    <n v="508"/>
    <n v="3"/>
    <x v="1"/>
    <n v="72"/>
    <n v="3"/>
    <n v="1"/>
    <x v="6"/>
    <n v="2"/>
    <x v="1"/>
    <n v="2476"/>
    <n v="17434"/>
    <n v="1"/>
    <s v="Y"/>
    <s v="No"/>
    <n v="18"/>
    <n v="3"/>
    <n v="1"/>
    <n v="80"/>
    <n v="1"/>
    <n v="1"/>
    <n v="3"/>
    <n v="3"/>
    <n v="1"/>
    <n v="0"/>
    <n v="0"/>
    <n v="0"/>
  </r>
  <r>
    <n v="26"/>
    <x v="2"/>
    <x v="0"/>
    <s v="Travel_Frequently"/>
    <n v="575"/>
    <x v="1"/>
    <n v="3"/>
    <n v="1"/>
    <x v="4"/>
    <n v="1"/>
    <n v="510"/>
    <n v="3"/>
    <x v="1"/>
    <n v="73"/>
    <n v="3"/>
    <n v="1"/>
    <x v="1"/>
    <n v="1"/>
    <x v="0"/>
    <n v="3102"/>
    <n v="6582"/>
    <n v="0"/>
    <s v="Y"/>
    <s v="No"/>
    <n v="22"/>
    <n v="4"/>
    <n v="3"/>
    <n v="80"/>
    <n v="0"/>
    <n v="7"/>
    <n v="2"/>
    <n v="3"/>
    <n v="6"/>
    <n v="4"/>
    <n v="0"/>
    <n v="4"/>
  </r>
  <r>
    <n v="22"/>
    <x v="3"/>
    <x v="1"/>
    <s v="Travel_Rarely"/>
    <n v="253"/>
    <x v="1"/>
    <n v="11"/>
    <n v="3"/>
    <x v="2"/>
    <n v="1"/>
    <n v="511"/>
    <n v="1"/>
    <x v="0"/>
    <n v="43"/>
    <n v="3"/>
    <n v="1"/>
    <x v="1"/>
    <n v="2"/>
    <x v="1"/>
    <n v="2244"/>
    <n v="24440"/>
    <n v="1"/>
    <s v="Y"/>
    <s v="No"/>
    <n v="13"/>
    <n v="3"/>
    <n v="4"/>
    <n v="80"/>
    <n v="1"/>
    <n v="2"/>
    <n v="1"/>
    <n v="3"/>
    <n v="2"/>
    <n v="1"/>
    <n v="1"/>
    <n v="2"/>
  </r>
  <r>
    <n v="36"/>
    <x v="0"/>
    <x v="1"/>
    <s v="Travel_Rarely"/>
    <n v="164"/>
    <x v="0"/>
    <n v="2"/>
    <n v="2"/>
    <x v="2"/>
    <n v="1"/>
    <n v="513"/>
    <n v="2"/>
    <x v="1"/>
    <n v="61"/>
    <n v="2"/>
    <n v="3"/>
    <x v="0"/>
    <n v="3"/>
    <x v="1"/>
    <n v="7596"/>
    <n v="3809"/>
    <n v="1"/>
    <s v="Y"/>
    <s v="No"/>
    <n v="13"/>
    <n v="3"/>
    <n v="2"/>
    <n v="80"/>
    <n v="2"/>
    <n v="10"/>
    <n v="2"/>
    <n v="3"/>
    <n v="10"/>
    <n v="9"/>
    <n v="9"/>
    <n v="0"/>
  </r>
  <r>
    <n v="30"/>
    <x v="2"/>
    <x v="0"/>
    <s v="Travel_Frequently"/>
    <n v="464"/>
    <x v="1"/>
    <n v="4"/>
    <n v="3"/>
    <x v="4"/>
    <n v="1"/>
    <n v="514"/>
    <n v="3"/>
    <x v="1"/>
    <n v="40"/>
    <n v="3"/>
    <n v="1"/>
    <x v="1"/>
    <n v="4"/>
    <x v="0"/>
    <n v="2285"/>
    <n v="3427"/>
    <n v="9"/>
    <s v="Y"/>
    <s v="Yes"/>
    <n v="23"/>
    <n v="4"/>
    <n v="3"/>
    <n v="80"/>
    <n v="0"/>
    <n v="3"/>
    <n v="4"/>
    <n v="3"/>
    <n v="1"/>
    <n v="0"/>
    <n v="0"/>
    <n v="0"/>
  </r>
  <r>
    <n v="37"/>
    <x v="0"/>
    <x v="1"/>
    <s v="Travel_Rarely"/>
    <n v="1107"/>
    <x v="1"/>
    <n v="14"/>
    <n v="3"/>
    <x v="0"/>
    <n v="1"/>
    <n v="515"/>
    <n v="4"/>
    <x v="0"/>
    <n v="95"/>
    <n v="3"/>
    <n v="1"/>
    <x v="2"/>
    <n v="1"/>
    <x v="2"/>
    <n v="3034"/>
    <n v="26914"/>
    <n v="1"/>
    <s v="Y"/>
    <s v="No"/>
    <n v="12"/>
    <n v="3"/>
    <n v="3"/>
    <n v="80"/>
    <n v="1"/>
    <n v="18"/>
    <n v="2"/>
    <n v="2"/>
    <n v="18"/>
    <n v="7"/>
    <n v="12"/>
    <n v="17"/>
  </r>
  <r>
    <n v="40"/>
    <x v="0"/>
    <x v="1"/>
    <s v="Travel_Rarely"/>
    <n v="759"/>
    <x v="0"/>
    <n v="2"/>
    <n v="2"/>
    <x v="3"/>
    <n v="1"/>
    <n v="516"/>
    <n v="4"/>
    <x v="0"/>
    <n v="46"/>
    <n v="3"/>
    <n v="2"/>
    <x v="0"/>
    <n v="2"/>
    <x v="2"/>
    <n v="5715"/>
    <n v="22553"/>
    <n v="7"/>
    <s v="Y"/>
    <s v="No"/>
    <n v="12"/>
    <n v="3"/>
    <n v="3"/>
    <n v="80"/>
    <n v="2"/>
    <n v="8"/>
    <n v="5"/>
    <n v="3"/>
    <n v="5"/>
    <n v="4"/>
    <n v="1"/>
    <n v="3"/>
  </r>
  <r>
    <n v="42"/>
    <x v="0"/>
    <x v="1"/>
    <s v="Travel_Rarely"/>
    <n v="201"/>
    <x v="1"/>
    <n v="1"/>
    <n v="4"/>
    <x v="0"/>
    <n v="1"/>
    <n v="517"/>
    <n v="2"/>
    <x v="0"/>
    <n v="95"/>
    <n v="3"/>
    <n v="1"/>
    <x v="2"/>
    <n v="1"/>
    <x v="2"/>
    <n v="2576"/>
    <n v="20490"/>
    <n v="3"/>
    <s v="Y"/>
    <s v="No"/>
    <n v="16"/>
    <n v="3"/>
    <n v="2"/>
    <n v="80"/>
    <n v="1"/>
    <n v="8"/>
    <n v="5"/>
    <n v="3"/>
    <n v="5"/>
    <n v="2"/>
    <n v="1"/>
    <n v="2"/>
  </r>
  <r>
    <n v="37"/>
    <x v="0"/>
    <x v="1"/>
    <s v="Travel_Rarely"/>
    <n v="1305"/>
    <x v="1"/>
    <n v="10"/>
    <n v="4"/>
    <x v="0"/>
    <n v="1"/>
    <n v="518"/>
    <n v="3"/>
    <x v="1"/>
    <n v="49"/>
    <n v="3"/>
    <n v="2"/>
    <x v="3"/>
    <n v="2"/>
    <x v="0"/>
    <n v="4197"/>
    <n v="21123"/>
    <n v="2"/>
    <s v="Y"/>
    <s v="Yes"/>
    <n v="12"/>
    <n v="3"/>
    <n v="4"/>
    <n v="80"/>
    <n v="0"/>
    <n v="18"/>
    <n v="2"/>
    <n v="2"/>
    <n v="1"/>
    <n v="0"/>
    <n v="0"/>
    <n v="1"/>
  </r>
  <r>
    <n v="43"/>
    <x v="0"/>
    <x v="1"/>
    <s v="Travel_Rarely"/>
    <n v="982"/>
    <x v="1"/>
    <n v="12"/>
    <n v="3"/>
    <x v="0"/>
    <n v="1"/>
    <n v="520"/>
    <n v="1"/>
    <x v="1"/>
    <n v="59"/>
    <n v="2"/>
    <n v="4"/>
    <x v="7"/>
    <n v="2"/>
    <x v="2"/>
    <n v="14336"/>
    <n v="4345"/>
    <n v="1"/>
    <s v="Y"/>
    <s v="No"/>
    <n v="11"/>
    <n v="3"/>
    <n v="3"/>
    <n v="80"/>
    <n v="1"/>
    <n v="25"/>
    <n v="3"/>
    <n v="3"/>
    <n v="25"/>
    <n v="10"/>
    <n v="3"/>
    <n v="9"/>
  </r>
  <r>
    <n v="40"/>
    <x v="0"/>
    <x v="1"/>
    <s v="Travel_Rarely"/>
    <n v="555"/>
    <x v="1"/>
    <n v="2"/>
    <n v="3"/>
    <x v="2"/>
    <n v="1"/>
    <n v="521"/>
    <n v="2"/>
    <x v="0"/>
    <n v="78"/>
    <n v="2"/>
    <n v="2"/>
    <x v="2"/>
    <n v="3"/>
    <x v="1"/>
    <n v="3448"/>
    <n v="13436"/>
    <n v="6"/>
    <s v="Y"/>
    <s v="No"/>
    <n v="22"/>
    <n v="4"/>
    <n v="2"/>
    <n v="80"/>
    <n v="1"/>
    <n v="20"/>
    <n v="3"/>
    <n v="3"/>
    <n v="1"/>
    <n v="0"/>
    <n v="0"/>
    <n v="0"/>
  </r>
  <r>
    <n v="54"/>
    <x v="1"/>
    <x v="1"/>
    <s v="Travel_Rarely"/>
    <n v="821"/>
    <x v="1"/>
    <n v="5"/>
    <n v="2"/>
    <x v="2"/>
    <n v="1"/>
    <n v="522"/>
    <n v="1"/>
    <x v="1"/>
    <n v="86"/>
    <n v="3"/>
    <n v="5"/>
    <x v="7"/>
    <n v="1"/>
    <x v="1"/>
    <n v="19406"/>
    <n v="8509"/>
    <n v="4"/>
    <s v="Y"/>
    <s v="No"/>
    <n v="11"/>
    <n v="3"/>
    <n v="3"/>
    <n v="80"/>
    <n v="1"/>
    <n v="24"/>
    <n v="4"/>
    <n v="2"/>
    <n v="4"/>
    <n v="2"/>
    <n v="1"/>
    <n v="2"/>
  </r>
  <r>
    <n v="34"/>
    <x v="2"/>
    <x v="1"/>
    <s v="Non-Travel"/>
    <n v="1381"/>
    <x v="0"/>
    <n v="4"/>
    <n v="4"/>
    <x v="3"/>
    <n v="1"/>
    <n v="523"/>
    <n v="3"/>
    <x v="0"/>
    <n v="72"/>
    <n v="3"/>
    <n v="2"/>
    <x v="0"/>
    <n v="3"/>
    <x v="1"/>
    <n v="6538"/>
    <n v="12740"/>
    <n v="9"/>
    <s v="Y"/>
    <s v="No"/>
    <n v="15"/>
    <n v="3"/>
    <n v="1"/>
    <n v="80"/>
    <n v="1"/>
    <n v="6"/>
    <n v="3"/>
    <n v="3"/>
    <n v="3"/>
    <n v="2"/>
    <n v="1"/>
    <n v="2"/>
  </r>
  <r>
    <n v="31"/>
    <x v="2"/>
    <x v="1"/>
    <s v="Travel_Rarely"/>
    <n v="480"/>
    <x v="1"/>
    <n v="7"/>
    <n v="2"/>
    <x v="2"/>
    <n v="1"/>
    <n v="524"/>
    <n v="2"/>
    <x v="0"/>
    <n v="31"/>
    <n v="3"/>
    <n v="2"/>
    <x v="3"/>
    <n v="1"/>
    <x v="1"/>
    <n v="4306"/>
    <n v="4156"/>
    <n v="1"/>
    <s v="Y"/>
    <s v="No"/>
    <n v="12"/>
    <n v="3"/>
    <n v="2"/>
    <n v="80"/>
    <n v="1"/>
    <n v="13"/>
    <n v="5"/>
    <n v="1"/>
    <n v="13"/>
    <n v="10"/>
    <n v="3"/>
    <n v="12"/>
  </r>
  <r>
    <n v="43"/>
    <x v="0"/>
    <x v="1"/>
    <s v="Travel_Frequently"/>
    <n v="313"/>
    <x v="1"/>
    <n v="21"/>
    <n v="3"/>
    <x v="2"/>
    <n v="1"/>
    <n v="525"/>
    <n v="4"/>
    <x v="1"/>
    <n v="61"/>
    <n v="3"/>
    <n v="1"/>
    <x v="2"/>
    <n v="4"/>
    <x v="1"/>
    <n v="2258"/>
    <n v="15238"/>
    <n v="7"/>
    <s v="Y"/>
    <s v="No"/>
    <n v="20"/>
    <n v="4"/>
    <n v="1"/>
    <n v="80"/>
    <n v="1"/>
    <n v="8"/>
    <n v="1"/>
    <n v="3"/>
    <n v="3"/>
    <n v="2"/>
    <n v="1"/>
    <n v="2"/>
  </r>
  <r>
    <n v="43"/>
    <x v="0"/>
    <x v="1"/>
    <s v="Travel_Rarely"/>
    <n v="1473"/>
    <x v="1"/>
    <n v="8"/>
    <n v="4"/>
    <x v="1"/>
    <n v="1"/>
    <n v="526"/>
    <n v="3"/>
    <x v="0"/>
    <n v="74"/>
    <n v="3"/>
    <n v="2"/>
    <x v="4"/>
    <n v="3"/>
    <x v="2"/>
    <n v="4522"/>
    <n v="2227"/>
    <n v="4"/>
    <s v="Y"/>
    <s v="Yes"/>
    <n v="14"/>
    <n v="3"/>
    <n v="4"/>
    <n v="80"/>
    <n v="0"/>
    <n v="8"/>
    <n v="3"/>
    <n v="3"/>
    <n v="5"/>
    <n v="2"/>
    <n v="0"/>
    <n v="2"/>
  </r>
  <r>
    <n v="25"/>
    <x v="3"/>
    <x v="1"/>
    <s v="Travel_Rarely"/>
    <n v="891"/>
    <x v="0"/>
    <n v="4"/>
    <n v="2"/>
    <x v="0"/>
    <n v="1"/>
    <n v="527"/>
    <n v="2"/>
    <x v="0"/>
    <n v="99"/>
    <n v="2"/>
    <n v="2"/>
    <x v="0"/>
    <n v="4"/>
    <x v="0"/>
    <n v="4487"/>
    <n v="12090"/>
    <n v="1"/>
    <s v="Y"/>
    <s v="Yes"/>
    <n v="11"/>
    <n v="3"/>
    <n v="2"/>
    <n v="80"/>
    <n v="0"/>
    <n v="5"/>
    <n v="3"/>
    <n v="3"/>
    <n v="5"/>
    <n v="4"/>
    <n v="1"/>
    <n v="3"/>
  </r>
  <r>
    <n v="37"/>
    <x v="0"/>
    <x v="1"/>
    <s v="Non-Travel"/>
    <n v="1063"/>
    <x v="1"/>
    <n v="25"/>
    <n v="5"/>
    <x v="2"/>
    <n v="1"/>
    <n v="529"/>
    <n v="2"/>
    <x v="0"/>
    <n v="72"/>
    <n v="3"/>
    <n v="2"/>
    <x v="1"/>
    <n v="3"/>
    <x v="1"/>
    <n v="4449"/>
    <n v="23866"/>
    <n v="3"/>
    <s v="Y"/>
    <s v="Yes"/>
    <n v="15"/>
    <n v="3"/>
    <n v="1"/>
    <n v="80"/>
    <n v="2"/>
    <n v="15"/>
    <n v="2"/>
    <n v="3"/>
    <n v="13"/>
    <n v="11"/>
    <n v="10"/>
    <n v="7"/>
  </r>
  <r>
    <n v="31"/>
    <x v="2"/>
    <x v="1"/>
    <s v="Travel_Rarely"/>
    <n v="329"/>
    <x v="1"/>
    <n v="1"/>
    <n v="2"/>
    <x v="0"/>
    <n v="1"/>
    <n v="530"/>
    <n v="4"/>
    <x v="1"/>
    <n v="98"/>
    <n v="2"/>
    <n v="1"/>
    <x v="2"/>
    <n v="1"/>
    <x v="1"/>
    <n v="2218"/>
    <n v="16193"/>
    <n v="1"/>
    <s v="Y"/>
    <s v="No"/>
    <n v="12"/>
    <n v="3"/>
    <n v="3"/>
    <n v="80"/>
    <n v="1"/>
    <n v="4"/>
    <n v="3"/>
    <n v="3"/>
    <n v="4"/>
    <n v="2"/>
    <n v="3"/>
    <n v="2"/>
  </r>
  <r>
    <n v="39"/>
    <x v="0"/>
    <x v="1"/>
    <s v="Travel_Frequently"/>
    <n v="1218"/>
    <x v="1"/>
    <n v="1"/>
    <n v="1"/>
    <x v="0"/>
    <n v="1"/>
    <n v="531"/>
    <n v="2"/>
    <x v="1"/>
    <n v="52"/>
    <n v="3"/>
    <n v="5"/>
    <x v="5"/>
    <n v="3"/>
    <x v="2"/>
    <n v="19197"/>
    <n v="8213"/>
    <n v="1"/>
    <s v="Y"/>
    <s v="Yes"/>
    <n v="14"/>
    <n v="3"/>
    <n v="3"/>
    <n v="80"/>
    <n v="1"/>
    <n v="21"/>
    <n v="3"/>
    <n v="3"/>
    <n v="21"/>
    <n v="8"/>
    <n v="1"/>
    <n v="6"/>
  </r>
  <r>
    <n v="56"/>
    <x v="1"/>
    <x v="1"/>
    <s v="Travel_Frequently"/>
    <n v="906"/>
    <x v="0"/>
    <n v="6"/>
    <n v="3"/>
    <x v="0"/>
    <n v="1"/>
    <n v="532"/>
    <n v="3"/>
    <x v="0"/>
    <n v="86"/>
    <n v="4"/>
    <n v="4"/>
    <x v="0"/>
    <n v="1"/>
    <x v="1"/>
    <n v="13212"/>
    <n v="18256"/>
    <n v="9"/>
    <s v="Y"/>
    <s v="No"/>
    <n v="11"/>
    <n v="3"/>
    <n v="4"/>
    <n v="80"/>
    <n v="3"/>
    <n v="36"/>
    <n v="0"/>
    <n v="2"/>
    <n v="7"/>
    <n v="7"/>
    <n v="7"/>
    <n v="7"/>
  </r>
  <r>
    <n v="30"/>
    <x v="2"/>
    <x v="1"/>
    <s v="Travel_Rarely"/>
    <n v="1082"/>
    <x v="0"/>
    <n v="12"/>
    <n v="3"/>
    <x v="4"/>
    <n v="1"/>
    <n v="533"/>
    <n v="2"/>
    <x v="0"/>
    <n v="83"/>
    <n v="3"/>
    <n v="2"/>
    <x v="0"/>
    <n v="3"/>
    <x v="0"/>
    <n v="6577"/>
    <n v="19558"/>
    <n v="0"/>
    <s v="Y"/>
    <s v="No"/>
    <n v="11"/>
    <n v="3"/>
    <n v="2"/>
    <n v="80"/>
    <n v="0"/>
    <n v="6"/>
    <n v="6"/>
    <n v="3"/>
    <n v="5"/>
    <n v="4"/>
    <n v="4"/>
    <n v="4"/>
  </r>
  <r>
    <n v="41"/>
    <x v="0"/>
    <x v="1"/>
    <s v="Travel_Rarely"/>
    <n v="645"/>
    <x v="0"/>
    <n v="1"/>
    <n v="3"/>
    <x v="3"/>
    <n v="1"/>
    <n v="534"/>
    <n v="2"/>
    <x v="1"/>
    <n v="49"/>
    <n v="4"/>
    <n v="3"/>
    <x v="0"/>
    <n v="1"/>
    <x v="1"/>
    <n v="8392"/>
    <n v="19566"/>
    <n v="1"/>
    <s v="Y"/>
    <s v="No"/>
    <n v="16"/>
    <n v="3"/>
    <n v="3"/>
    <n v="80"/>
    <n v="1"/>
    <n v="10"/>
    <n v="2"/>
    <n v="3"/>
    <n v="10"/>
    <n v="7"/>
    <n v="0"/>
    <n v="7"/>
  </r>
  <r>
    <n v="28"/>
    <x v="2"/>
    <x v="1"/>
    <s v="Travel_Rarely"/>
    <n v="1300"/>
    <x v="1"/>
    <n v="17"/>
    <n v="2"/>
    <x v="2"/>
    <n v="1"/>
    <n v="536"/>
    <n v="3"/>
    <x v="1"/>
    <n v="79"/>
    <n v="3"/>
    <n v="2"/>
    <x v="2"/>
    <n v="1"/>
    <x v="2"/>
    <n v="4558"/>
    <n v="13535"/>
    <n v="1"/>
    <s v="Y"/>
    <s v="No"/>
    <n v="12"/>
    <n v="3"/>
    <n v="4"/>
    <n v="80"/>
    <n v="1"/>
    <n v="10"/>
    <n v="2"/>
    <n v="3"/>
    <n v="10"/>
    <n v="0"/>
    <n v="1"/>
    <n v="8"/>
  </r>
  <r>
    <n v="25"/>
    <x v="3"/>
    <x v="0"/>
    <s v="Travel_Rarely"/>
    <n v="688"/>
    <x v="1"/>
    <n v="3"/>
    <n v="3"/>
    <x v="2"/>
    <n v="1"/>
    <n v="538"/>
    <n v="1"/>
    <x v="1"/>
    <n v="91"/>
    <n v="3"/>
    <n v="1"/>
    <x v="2"/>
    <n v="1"/>
    <x v="1"/>
    <n v="4031"/>
    <n v="9396"/>
    <n v="5"/>
    <s v="Y"/>
    <s v="No"/>
    <n v="13"/>
    <n v="3"/>
    <n v="3"/>
    <n v="80"/>
    <n v="1"/>
    <n v="6"/>
    <n v="5"/>
    <n v="3"/>
    <n v="2"/>
    <n v="2"/>
    <n v="0"/>
    <n v="2"/>
  </r>
  <r>
    <n v="52"/>
    <x v="1"/>
    <x v="1"/>
    <s v="Travel_Rarely"/>
    <n v="319"/>
    <x v="1"/>
    <n v="3"/>
    <n v="3"/>
    <x v="2"/>
    <n v="1"/>
    <n v="543"/>
    <n v="4"/>
    <x v="1"/>
    <n v="39"/>
    <n v="2"/>
    <n v="3"/>
    <x v="3"/>
    <n v="3"/>
    <x v="1"/>
    <n v="7969"/>
    <n v="19609"/>
    <n v="2"/>
    <s v="Y"/>
    <s v="Yes"/>
    <n v="14"/>
    <n v="3"/>
    <n v="3"/>
    <n v="80"/>
    <n v="0"/>
    <n v="28"/>
    <n v="4"/>
    <n v="3"/>
    <n v="5"/>
    <n v="4"/>
    <n v="0"/>
    <n v="4"/>
  </r>
  <r>
    <n v="45"/>
    <x v="0"/>
    <x v="1"/>
    <s v="Travel_Rarely"/>
    <n v="192"/>
    <x v="1"/>
    <n v="10"/>
    <n v="2"/>
    <x v="0"/>
    <n v="1"/>
    <n v="544"/>
    <n v="1"/>
    <x v="1"/>
    <n v="69"/>
    <n v="3"/>
    <n v="1"/>
    <x v="1"/>
    <n v="4"/>
    <x v="1"/>
    <n v="2654"/>
    <n v="9655"/>
    <n v="3"/>
    <s v="Y"/>
    <s v="No"/>
    <n v="21"/>
    <n v="4"/>
    <n v="4"/>
    <n v="80"/>
    <n v="2"/>
    <n v="8"/>
    <n v="3"/>
    <n v="2"/>
    <n v="2"/>
    <n v="2"/>
    <n v="0"/>
    <n v="2"/>
  </r>
  <r>
    <n v="52"/>
    <x v="1"/>
    <x v="1"/>
    <s v="Travel_Rarely"/>
    <n v="1490"/>
    <x v="1"/>
    <n v="4"/>
    <n v="2"/>
    <x v="0"/>
    <n v="1"/>
    <n v="546"/>
    <n v="4"/>
    <x v="0"/>
    <n v="30"/>
    <n v="3"/>
    <n v="4"/>
    <x v="5"/>
    <n v="4"/>
    <x v="1"/>
    <n v="16555"/>
    <n v="10310"/>
    <n v="2"/>
    <s v="Y"/>
    <s v="No"/>
    <n v="13"/>
    <n v="3"/>
    <n v="4"/>
    <n v="80"/>
    <n v="0"/>
    <n v="31"/>
    <n v="2"/>
    <n v="1"/>
    <n v="5"/>
    <n v="2"/>
    <n v="1"/>
    <n v="4"/>
  </r>
  <r>
    <n v="42"/>
    <x v="0"/>
    <x v="1"/>
    <s v="Travel_Frequently"/>
    <n v="532"/>
    <x v="1"/>
    <n v="29"/>
    <n v="2"/>
    <x v="0"/>
    <n v="1"/>
    <n v="547"/>
    <n v="1"/>
    <x v="0"/>
    <n v="92"/>
    <n v="3"/>
    <n v="2"/>
    <x v="1"/>
    <n v="3"/>
    <x v="2"/>
    <n v="4556"/>
    <n v="12932"/>
    <n v="2"/>
    <s v="Y"/>
    <s v="No"/>
    <n v="11"/>
    <n v="3"/>
    <n v="2"/>
    <n v="80"/>
    <n v="1"/>
    <n v="19"/>
    <n v="3"/>
    <n v="3"/>
    <n v="5"/>
    <n v="4"/>
    <n v="0"/>
    <n v="2"/>
  </r>
  <r>
    <n v="30"/>
    <x v="2"/>
    <x v="1"/>
    <s v="Travel_Rarely"/>
    <n v="317"/>
    <x v="1"/>
    <n v="2"/>
    <n v="3"/>
    <x v="0"/>
    <n v="1"/>
    <n v="548"/>
    <n v="3"/>
    <x v="0"/>
    <n v="43"/>
    <n v="1"/>
    <n v="2"/>
    <x v="3"/>
    <n v="4"/>
    <x v="0"/>
    <n v="6091"/>
    <n v="24793"/>
    <n v="2"/>
    <s v="Y"/>
    <s v="No"/>
    <n v="20"/>
    <n v="4"/>
    <n v="3"/>
    <n v="80"/>
    <n v="0"/>
    <n v="11"/>
    <n v="2"/>
    <n v="3"/>
    <n v="5"/>
    <n v="4"/>
    <n v="0"/>
    <n v="2"/>
  </r>
  <r>
    <n v="60"/>
    <x v="1"/>
    <x v="1"/>
    <s v="Travel_Rarely"/>
    <n v="422"/>
    <x v="1"/>
    <n v="7"/>
    <n v="3"/>
    <x v="0"/>
    <n v="1"/>
    <n v="549"/>
    <n v="1"/>
    <x v="0"/>
    <n v="41"/>
    <n v="3"/>
    <n v="5"/>
    <x v="5"/>
    <n v="1"/>
    <x v="1"/>
    <n v="19566"/>
    <n v="3854"/>
    <n v="5"/>
    <s v="Y"/>
    <s v="No"/>
    <n v="11"/>
    <n v="3"/>
    <n v="4"/>
    <n v="80"/>
    <n v="0"/>
    <n v="33"/>
    <n v="5"/>
    <n v="1"/>
    <n v="29"/>
    <n v="8"/>
    <n v="11"/>
    <n v="10"/>
  </r>
  <r>
    <n v="46"/>
    <x v="1"/>
    <x v="1"/>
    <s v="Travel_Rarely"/>
    <n v="1485"/>
    <x v="1"/>
    <n v="18"/>
    <n v="3"/>
    <x v="2"/>
    <n v="1"/>
    <n v="550"/>
    <n v="3"/>
    <x v="0"/>
    <n v="87"/>
    <n v="3"/>
    <n v="2"/>
    <x v="3"/>
    <n v="3"/>
    <x v="2"/>
    <n v="4810"/>
    <n v="26314"/>
    <n v="2"/>
    <s v="Y"/>
    <s v="No"/>
    <n v="14"/>
    <n v="3"/>
    <n v="3"/>
    <n v="80"/>
    <n v="1"/>
    <n v="19"/>
    <n v="5"/>
    <n v="2"/>
    <n v="10"/>
    <n v="7"/>
    <n v="0"/>
    <n v="8"/>
  </r>
  <r>
    <n v="42"/>
    <x v="0"/>
    <x v="1"/>
    <s v="Travel_Frequently"/>
    <n v="1368"/>
    <x v="1"/>
    <n v="28"/>
    <n v="4"/>
    <x v="4"/>
    <n v="1"/>
    <n v="551"/>
    <n v="4"/>
    <x v="0"/>
    <n v="88"/>
    <n v="2"/>
    <n v="2"/>
    <x v="4"/>
    <n v="4"/>
    <x v="1"/>
    <n v="4523"/>
    <n v="4386"/>
    <n v="0"/>
    <s v="Y"/>
    <s v="No"/>
    <n v="11"/>
    <n v="3"/>
    <n v="4"/>
    <n v="80"/>
    <n v="3"/>
    <n v="7"/>
    <n v="4"/>
    <n v="4"/>
    <n v="6"/>
    <n v="5"/>
    <n v="0"/>
    <n v="4"/>
  </r>
  <r>
    <n v="24"/>
    <x v="3"/>
    <x v="0"/>
    <s v="Travel_Rarely"/>
    <n v="1448"/>
    <x v="0"/>
    <n v="1"/>
    <n v="1"/>
    <x v="4"/>
    <n v="1"/>
    <n v="554"/>
    <n v="1"/>
    <x v="0"/>
    <n v="62"/>
    <n v="3"/>
    <n v="1"/>
    <x v="6"/>
    <n v="2"/>
    <x v="0"/>
    <n v="3202"/>
    <n v="21972"/>
    <n v="1"/>
    <s v="Y"/>
    <s v="Yes"/>
    <n v="16"/>
    <n v="3"/>
    <n v="2"/>
    <n v="80"/>
    <n v="0"/>
    <n v="6"/>
    <n v="4"/>
    <n v="3"/>
    <n v="5"/>
    <n v="3"/>
    <n v="1"/>
    <n v="4"/>
  </r>
  <r>
    <n v="34"/>
    <x v="2"/>
    <x v="0"/>
    <s v="Travel_Frequently"/>
    <n v="296"/>
    <x v="0"/>
    <n v="6"/>
    <n v="2"/>
    <x v="3"/>
    <n v="1"/>
    <n v="555"/>
    <n v="4"/>
    <x v="0"/>
    <n v="33"/>
    <n v="1"/>
    <n v="1"/>
    <x v="6"/>
    <n v="3"/>
    <x v="2"/>
    <n v="2351"/>
    <n v="12253"/>
    <n v="0"/>
    <s v="Y"/>
    <s v="No"/>
    <n v="16"/>
    <n v="3"/>
    <n v="4"/>
    <n v="80"/>
    <n v="1"/>
    <n v="3"/>
    <n v="3"/>
    <n v="2"/>
    <n v="2"/>
    <n v="2"/>
    <n v="1"/>
    <n v="0"/>
  </r>
  <r>
    <n v="38"/>
    <x v="0"/>
    <x v="1"/>
    <s v="Travel_Frequently"/>
    <n v="1490"/>
    <x v="1"/>
    <n v="2"/>
    <n v="2"/>
    <x v="0"/>
    <n v="1"/>
    <n v="556"/>
    <n v="4"/>
    <x v="1"/>
    <n v="42"/>
    <n v="3"/>
    <n v="1"/>
    <x v="2"/>
    <n v="4"/>
    <x v="1"/>
    <n v="1702"/>
    <n v="12106"/>
    <n v="1"/>
    <s v="Y"/>
    <s v="Yes"/>
    <n v="23"/>
    <n v="4"/>
    <n v="3"/>
    <n v="80"/>
    <n v="1"/>
    <n v="1"/>
    <n v="3"/>
    <n v="3"/>
    <n v="1"/>
    <n v="0"/>
    <n v="0"/>
    <n v="0"/>
  </r>
  <r>
    <n v="40"/>
    <x v="0"/>
    <x v="1"/>
    <s v="Travel_Rarely"/>
    <n v="1398"/>
    <x v="0"/>
    <n v="2"/>
    <n v="4"/>
    <x v="0"/>
    <n v="1"/>
    <n v="558"/>
    <n v="3"/>
    <x v="0"/>
    <n v="79"/>
    <n v="3"/>
    <n v="5"/>
    <x v="5"/>
    <n v="3"/>
    <x v="1"/>
    <n v="18041"/>
    <n v="13022"/>
    <n v="0"/>
    <s v="Y"/>
    <s v="No"/>
    <n v="14"/>
    <n v="3"/>
    <n v="4"/>
    <n v="80"/>
    <n v="0"/>
    <n v="21"/>
    <n v="2"/>
    <n v="3"/>
    <n v="20"/>
    <n v="15"/>
    <n v="1"/>
    <n v="12"/>
  </r>
  <r>
    <n v="26"/>
    <x v="2"/>
    <x v="1"/>
    <s v="Travel_Rarely"/>
    <n v="1349"/>
    <x v="1"/>
    <n v="23"/>
    <n v="3"/>
    <x v="0"/>
    <n v="1"/>
    <n v="560"/>
    <n v="1"/>
    <x v="0"/>
    <n v="90"/>
    <n v="3"/>
    <n v="1"/>
    <x v="1"/>
    <n v="4"/>
    <x v="2"/>
    <n v="2886"/>
    <n v="3032"/>
    <n v="1"/>
    <s v="Y"/>
    <s v="No"/>
    <n v="22"/>
    <n v="4"/>
    <n v="2"/>
    <n v="80"/>
    <n v="2"/>
    <n v="3"/>
    <n v="3"/>
    <n v="1"/>
    <n v="3"/>
    <n v="2"/>
    <n v="0"/>
    <n v="2"/>
  </r>
  <r>
    <n v="30"/>
    <x v="2"/>
    <x v="1"/>
    <s v="Non-Travel"/>
    <n v="1400"/>
    <x v="1"/>
    <n v="3"/>
    <n v="3"/>
    <x v="0"/>
    <n v="1"/>
    <n v="562"/>
    <n v="3"/>
    <x v="1"/>
    <n v="53"/>
    <n v="3"/>
    <n v="1"/>
    <x v="2"/>
    <n v="4"/>
    <x v="1"/>
    <n v="2097"/>
    <n v="16734"/>
    <n v="4"/>
    <s v="Y"/>
    <s v="No"/>
    <n v="15"/>
    <n v="3"/>
    <n v="3"/>
    <n v="80"/>
    <n v="1"/>
    <n v="9"/>
    <n v="3"/>
    <n v="1"/>
    <n v="5"/>
    <n v="3"/>
    <n v="1"/>
    <n v="4"/>
  </r>
  <r>
    <n v="29"/>
    <x v="2"/>
    <x v="1"/>
    <s v="Travel_Rarely"/>
    <n v="986"/>
    <x v="1"/>
    <n v="3"/>
    <n v="4"/>
    <x v="2"/>
    <n v="1"/>
    <n v="564"/>
    <n v="2"/>
    <x v="1"/>
    <n v="93"/>
    <n v="2"/>
    <n v="3"/>
    <x v="7"/>
    <n v="3"/>
    <x v="1"/>
    <n v="11935"/>
    <n v="21526"/>
    <n v="1"/>
    <s v="Y"/>
    <s v="No"/>
    <n v="18"/>
    <n v="3"/>
    <n v="3"/>
    <n v="80"/>
    <n v="0"/>
    <n v="10"/>
    <n v="2"/>
    <n v="3"/>
    <n v="10"/>
    <n v="2"/>
    <n v="0"/>
    <n v="7"/>
  </r>
  <r>
    <n v="29"/>
    <x v="2"/>
    <x v="0"/>
    <s v="Travel_Rarely"/>
    <n v="408"/>
    <x v="1"/>
    <n v="25"/>
    <n v="5"/>
    <x v="4"/>
    <n v="1"/>
    <n v="565"/>
    <n v="3"/>
    <x v="0"/>
    <n v="71"/>
    <n v="2"/>
    <n v="1"/>
    <x v="1"/>
    <n v="2"/>
    <x v="1"/>
    <n v="2546"/>
    <n v="18300"/>
    <n v="5"/>
    <s v="Y"/>
    <s v="No"/>
    <n v="16"/>
    <n v="3"/>
    <n v="2"/>
    <n v="80"/>
    <n v="0"/>
    <n v="6"/>
    <n v="2"/>
    <n v="4"/>
    <n v="2"/>
    <n v="2"/>
    <n v="1"/>
    <n v="1"/>
  </r>
  <r>
    <n v="19"/>
    <x v="3"/>
    <x v="0"/>
    <s v="Travel_Rarely"/>
    <n v="489"/>
    <x v="2"/>
    <n v="2"/>
    <n v="2"/>
    <x v="4"/>
    <n v="1"/>
    <n v="566"/>
    <n v="1"/>
    <x v="1"/>
    <n v="52"/>
    <n v="2"/>
    <n v="1"/>
    <x v="8"/>
    <n v="4"/>
    <x v="0"/>
    <n v="2564"/>
    <n v="18437"/>
    <n v="1"/>
    <s v="Y"/>
    <s v="No"/>
    <n v="12"/>
    <n v="3"/>
    <n v="3"/>
    <n v="80"/>
    <n v="0"/>
    <n v="1"/>
    <n v="3"/>
    <n v="4"/>
    <n v="1"/>
    <n v="0"/>
    <n v="0"/>
    <n v="0"/>
  </r>
  <r>
    <n v="30"/>
    <x v="2"/>
    <x v="1"/>
    <s v="Non-Travel"/>
    <n v="1398"/>
    <x v="0"/>
    <n v="22"/>
    <n v="4"/>
    <x v="1"/>
    <n v="1"/>
    <n v="567"/>
    <n v="3"/>
    <x v="0"/>
    <n v="69"/>
    <n v="3"/>
    <n v="3"/>
    <x v="0"/>
    <n v="1"/>
    <x v="1"/>
    <n v="8412"/>
    <n v="2890"/>
    <n v="0"/>
    <s v="Y"/>
    <s v="No"/>
    <n v="11"/>
    <n v="3"/>
    <n v="3"/>
    <n v="80"/>
    <n v="0"/>
    <n v="10"/>
    <n v="3"/>
    <n v="3"/>
    <n v="9"/>
    <n v="8"/>
    <n v="7"/>
    <n v="8"/>
  </r>
  <r>
    <n v="57"/>
    <x v="1"/>
    <x v="1"/>
    <s v="Travel_Rarely"/>
    <n v="210"/>
    <x v="0"/>
    <n v="29"/>
    <n v="3"/>
    <x v="3"/>
    <n v="1"/>
    <n v="568"/>
    <n v="1"/>
    <x v="1"/>
    <n v="56"/>
    <n v="2"/>
    <n v="4"/>
    <x v="5"/>
    <n v="4"/>
    <x v="2"/>
    <n v="14118"/>
    <n v="22102"/>
    <n v="3"/>
    <s v="Y"/>
    <s v="No"/>
    <n v="12"/>
    <n v="3"/>
    <n v="3"/>
    <n v="80"/>
    <n v="1"/>
    <n v="32"/>
    <n v="3"/>
    <n v="2"/>
    <n v="1"/>
    <n v="0"/>
    <n v="0"/>
    <n v="0"/>
  </r>
  <r>
    <n v="50"/>
    <x v="1"/>
    <x v="1"/>
    <s v="Travel_Rarely"/>
    <n v="1099"/>
    <x v="1"/>
    <n v="29"/>
    <n v="4"/>
    <x v="0"/>
    <n v="1"/>
    <n v="569"/>
    <n v="2"/>
    <x v="1"/>
    <n v="88"/>
    <n v="2"/>
    <n v="4"/>
    <x v="5"/>
    <n v="3"/>
    <x v="1"/>
    <n v="17046"/>
    <n v="9314"/>
    <n v="0"/>
    <s v="Y"/>
    <s v="No"/>
    <n v="15"/>
    <n v="3"/>
    <n v="2"/>
    <n v="80"/>
    <n v="1"/>
    <n v="28"/>
    <n v="2"/>
    <n v="3"/>
    <n v="27"/>
    <n v="10"/>
    <n v="15"/>
    <n v="7"/>
  </r>
  <r>
    <n v="30"/>
    <x v="2"/>
    <x v="1"/>
    <s v="Non-Travel"/>
    <n v="1116"/>
    <x v="1"/>
    <n v="2"/>
    <n v="3"/>
    <x v="2"/>
    <n v="1"/>
    <n v="571"/>
    <n v="3"/>
    <x v="0"/>
    <n v="49"/>
    <n v="3"/>
    <n v="1"/>
    <x v="2"/>
    <n v="4"/>
    <x v="0"/>
    <n v="2564"/>
    <n v="7181"/>
    <n v="0"/>
    <s v="Y"/>
    <s v="No"/>
    <n v="14"/>
    <n v="3"/>
    <n v="3"/>
    <n v="80"/>
    <n v="0"/>
    <n v="12"/>
    <n v="2"/>
    <n v="2"/>
    <n v="11"/>
    <n v="7"/>
    <n v="6"/>
    <n v="7"/>
  </r>
  <r>
    <n v="60"/>
    <x v="1"/>
    <x v="1"/>
    <s v="Travel_Frequently"/>
    <n v="1499"/>
    <x v="0"/>
    <n v="28"/>
    <n v="3"/>
    <x v="3"/>
    <n v="1"/>
    <n v="573"/>
    <n v="3"/>
    <x v="0"/>
    <n v="80"/>
    <n v="2"/>
    <n v="3"/>
    <x v="0"/>
    <n v="1"/>
    <x v="1"/>
    <n v="10266"/>
    <n v="2845"/>
    <n v="4"/>
    <s v="Y"/>
    <s v="No"/>
    <n v="19"/>
    <n v="3"/>
    <n v="4"/>
    <n v="80"/>
    <n v="0"/>
    <n v="22"/>
    <n v="5"/>
    <n v="4"/>
    <n v="18"/>
    <n v="13"/>
    <n v="13"/>
    <n v="11"/>
  </r>
  <r>
    <n v="47"/>
    <x v="1"/>
    <x v="1"/>
    <s v="Travel_Rarely"/>
    <n v="983"/>
    <x v="1"/>
    <n v="2"/>
    <n v="2"/>
    <x v="2"/>
    <n v="1"/>
    <n v="574"/>
    <n v="1"/>
    <x v="0"/>
    <n v="65"/>
    <n v="3"/>
    <n v="2"/>
    <x v="3"/>
    <n v="4"/>
    <x v="2"/>
    <n v="5070"/>
    <n v="7389"/>
    <n v="5"/>
    <s v="Y"/>
    <s v="No"/>
    <n v="13"/>
    <n v="3"/>
    <n v="3"/>
    <n v="80"/>
    <n v="3"/>
    <n v="20"/>
    <n v="2"/>
    <n v="3"/>
    <n v="5"/>
    <n v="0"/>
    <n v="0"/>
    <n v="4"/>
  </r>
  <r>
    <n v="46"/>
    <x v="1"/>
    <x v="1"/>
    <s v="Travel_Rarely"/>
    <n v="1009"/>
    <x v="1"/>
    <n v="2"/>
    <n v="3"/>
    <x v="0"/>
    <n v="1"/>
    <n v="575"/>
    <n v="1"/>
    <x v="1"/>
    <n v="51"/>
    <n v="3"/>
    <n v="4"/>
    <x v="7"/>
    <n v="3"/>
    <x v="1"/>
    <n v="17861"/>
    <n v="2288"/>
    <n v="6"/>
    <s v="Y"/>
    <s v="No"/>
    <n v="13"/>
    <n v="3"/>
    <n v="3"/>
    <n v="80"/>
    <n v="0"/>
    <n v="26"/>
    <n v="2"/>
    <n v="1"/>
    <n v="3"/>
    <n v="2"/>
    <n v="0"/>
    <n v="1"/>
  </r>
  <r>
    <n v="35"/>
    <x v="2"/>
    <x v="1"/>
    <s v="Travel_Rarely"/>
    <n v="144"/>
    <x v="1"/>
    <n v="22"/>
    <n v="3"/>
    <x v="0"/>
    <n v="1"/>
    <n v="577"/>
    <n v="4"/>
    <x v="1"/>
    <n v="46"/>
    <n v="1"/>
    <n v="1"/>
    <x v="2"/>
    <n v="3"/>
    <x v="0"/>
    <n v="4230"/>
    <n v="19225"/>
    <n v="0"/>
    <s v="Y"/>
    <s v="No"/>
    <n v="15"/>
    <n v="3"/>
    <n v="3"/>
    <n v="80"/>
    <n v="0"/>
    <n v="6"/>
    <n v="2"/>
    <n v="3"/>
    <n v="5"/>
    <n v="4"/>
    <n v="4"/>
    <n v="3"/>
  </r>
  <r>
    <n v="54"/>
    <x v="1"/>
    <x v="1"/>
    <s v="Travel_Rarely"/>
    <n v="548"/>
    <x v="1"/>
    <n v="8"/>
    <n v="4"/>
    <x v="0"/>
    <n v="1"/>
    <n v="578"/>
    <n v="3"/>
    <x v="0"/>
    <n v="42"/>
    <n v="3"/>
    <n v="2"/>
    <x v="2"/>
    <n v="3"/>
    <x v="0"/>
    <n v="3780"/>
    <n v="23428"/>
    <n v="7"/>
    <s v="Y"/>
    <s v="No"/>
    <n v="11"/>
    <n v="3"/>
    <n v="3"/>
    <n v="80"/>
    <n v="0"/>
    <n v="19"/>
    <n v="3"/>
    <n v="3"/>
    <n v="1"/>
    <n v="0"/>
    <n v="0"/>
    <n v="0"/>
  </r>
  <r>
    <n v="34"/>
    <x v="2"/>
    <x v="1"/>
    <s v="Travel_Rarely"/>
    <n v="1303"/>
    <x v="1"/>
    <n v="2"/>
    <n v="4"/>
    <x v="0"/>
    <n v="1"/>
    <n v="579"/>
    <n v="4"/>
    <x v="1"/>
    <n v="62"/>
    <n v="2"/>
    <n v="1"/>
    <x v="1"/>
    <n v="3"/>
    <x v="2"/>
    <n v="2768"/>
    <n v="8416"/>
    <n v="3"/>
    <s v="Y"/>
    <s v="No"/>
    <n v="12"/>
    <n v="3"/>
    <n v="3"/>
    <n v="80"/>
    <n v="1"/>
    <n v="14"/>
    <n v="3"/>
    <n v="3"/>
    <n v="7"/>
    <n v="3"/>
    <n v="5"/>
    <n v="7"/>
  </r>
  <r>
    <n v="46"/>
    <x v="1"/>
    <x v="1"/>
    <s v="Travel_Rarely"/>
    <n v="1125"/>
    <x v="0"/>
    <n v="10"/>
    <n v="3"/>
    <x v="3"/>
    <n v="1"/>
    <n v="580"/>
    <n v="3"/>
    <x v="0"/>
    <n v="94"/>
    <n v="2"/>
    <n v="3"/>
    <x v="0"/>
    <n v="4"/>
    <x v="1"/>
    <n v="9071"/>
    <n v="11563"/>
    <n v="2"/>
    <s v="Y"/>
    <s v="Yes"/>
    <n v="19"/>
    <n v="3"/>
    <n v="3"/>
    <n v="80"/>
    <n v="1"/>
    <n v="15"/>
    <n v="3"/>
    <n v="3"/>
    <n v="3"/>
    <n v="2"/>
    <n v="1"/>
    <n v="2"/>
  </r>
  <r>
    <n v="31"/>
    <x v="2"/>
    <x v="1"/>
    <s v="Travel_Rarely"/>
    <n v="1274"/>
    <x v="1"/>
    <n v="9"/>
    <n v="1"/>
    <x v="0"/>
    <n v="1"/>
    <n v="581"/>
    <n v="3"/>
    <x v="1"/>
    <n v="33"/>
    <n v="3"/>
    <n v="3"/>
    <x v="3"/>
    <n v="2"/>
    <x v="2"/>
    <n v="10648"/>
    <n v="14394"/>
    <n v="1"/>
    <s v="Y"/>
    <s v="No"/>
    <n v="25"/>
    <n v="4"/>
    <n v="4"/>
    <n v="80"/>
    <n v="1"/>
    <n v="13"/>
    <n v="6"/>
    <n v="4"/>
    <n v="13"/>
    <n v="8"/>
    <n v="0"/>
    <n v="8"/>
  </r>
  <r>
    <n v="33"/>
    <x v="2"/>
    <x v="0"/>
    <s v="Travel_Rarely"/>
    <n v="1277"/>
    <x v="1"/>
    <n v="15"/>
    <n v="1"/>
    <x v="2"/>
    <n v="1"/>
    <n v="582"/>
    <n v="2"/>
    <x v="1"/>
    <n v="56"/>
    <n v="3"/>
    <n v="3"/>
    <x v="5"/>
    <n v="3"/>
    <x v="1"/>
    <n v="13610"/>
    <n v="24619"/>
    <n v="7"/>
    <s v="Y"/>
    <s v="Yes"/>
    <n v="12"/>
    <n v="3"/>
    <n v="4"/>
    <n v="80"/>
    <n v="0"/>
    <n v="15"/>
    <n v="2"/>
    <n v="4"/>
    <n v="7"/>
    <n v="6"/>
    <n v="7"/>
    <n v="7"/>
  </r>
  <r>
    <n v="33"/>
    <x v="2"/>
    <x v="0"/>
    <s v="Travel_Rarely"/>
    <n v="587"/>
    <x v="1"/>
    <n v="10"/>
    <n v="1"/>
    <x v="2"/>
    <n v="1"/>
    <n v="584"/>
    <n v="1"/>
    <x v="1"/>
    <n v="38"/>
    <n v="1"/>
    <n v="1"/>
    <x v="2"/>
    <n v="4"/>
    <x v="2"/>
    <n v="3408"/>
    <n v="6705"/>
    <n v="7"/>
    <s v="Y"/>
    <s v="No"/>
    <n v="13"/>
    <n v="3"/>
    <n v="1"/>
    <n v="80"/>
    <n v="3"/>
    <n v="8"/>
    <n v="2"/>
    <n v="3"/>
    <n v="4"/>
    <n v="3"/>
    <n v="1"/>
    <n v="3"/>
  </r>
  <r>
    <n v="30"/>
    <x v="2"/>
    <x v="1"/>
    <s v="Travel_Rarely"/>
    <n v="413"/>
    <x v="0"/>
    <n v="7"/>
    <n v="1"/>
    <x v="3"/>
    <n v="1"/>
    <n v="585"/>
    <n v="4"/>
    <x v="1"/>
    <n v="57"/>
    <n v="3"/>
    <n v="1"/>
    <x v="6"/>
    <n v="2"/>
    <x v="0"/>
    <n v="2983"/>
    <n v="18398"/>
    <n v="0"/>
    <s v="Y"/>
    <s v="No"/>
    <n v="14"/>
    <n v="3"/>
    <n v="1"/>
    <n v="80"/>
    <n v="0"/>
    <n v="4"/>
    <n v="3"/>
    <n v="3"/>
    <n v="3"/>
    <n v="2"/>
    <n v="1"/>
    <n v="2"/>
  </r>
  <r>
    <n v="35"/>
    <x v="2"/>
    <x v="1"/>
    <s v="Travel_Rarely"/>
    <n v="1276"/>
    <x v="1"/>
    <n v="16"/>
    <n v="3"/>
    <x v="0"/>
    <n v="1"/>
    <n v="586"/>
    <n v="4"/>
    <x v="1"/>
    <n v="72"/>
    <n v="3"/>
    <n v="3"/>
    <x v="4"/>
    <n v="3"/>
    <x v="1"/>
    <n v="7632"/>
    <n v="14295"/>
    <n v="4"/>
    <s v="Y"/>
    <s v="Yes"/>
    <n v="12"/>
    <n v="3"/>
    <n v="3"/>
    <n v="80"/>
    <n v="0"/>
    <n v="10"/>
    <n v="2"/>
    <n v="3"/>
    <n v="8"/>
    <n v="7"/>
    <n v="0"/>
    <n v="0"/>
  </r>
  <r>
    <n v="31"/>
    <x v="2"/>
    <x v="0"/>
    <s v="Travel_Frequently"/>
    <n v="534"/>
    <x v="1"/>
    <n v="20"/>
    <n v="3"/>
    <x v="0"/>
    <n v="1"/>
    <n v="587"/>
    <n v="1"/>
    <x v="1"/>
    <n v="66"/>
    <n v="3"/>
    <n v="3"/>
    <x v="4"/>
    <n v="3"/>
    <x v="1"/>
    <n v="9824"/>
    <n v="22908"/>
    <n v="3"/>
    <s v="Y"/>
    <s v="No"/>
    <n v="12"/>
    <n v="3"/>
    <n v="1"/>
    <n v="80"/>
    <n v="0"/>
    <n v="12"/>
    <n v="2"/>
    <n v="3"/>
    <n v="1"/>
    <n v="0"/>
    <n v="0"/>
    <n v="0"/>
  </r>
  <r>
    <n v="34"/>
    <x v="2"/>
    <x v="0"/>
    <s v="Travel_Frequently"/>
    <n v="988"/>
    <x v="2"/>
    <n v="23"/>
    <n v="3"/>
    <x v="5"/>
    <n v="1"/>
    <n v="590"/>
    <n v="2"/>
    <x v="0"/>
    <n v="43"/>
    <n v="3"/>
    <n v="3"/>
    <x v="8"/>
    <n v="1"/>
    <x v="2"/>
    <n v="9950"/>
    <n v="11533"/>
    <n v="9"/>
    <s v="Y"/>
    <s v="Yes"/>
    <n v="15"/>
    <n v="3"/>
    <n v="3"/>
    <n v="80"/>
    <n v="3"/>
    <n v="11"/>
    <n v="2"/>
    <n v="3"/>
    <n v="3"/>
    <n v="2"/>
    <n v="0"/>
    <n v="2"/>
  </r>
  <r>
    <n v="42"/>
    <x v="0"/>
    <x v="1"/>
    <s v="Travel_Frequently"/>
    <n v="1474"/>
    <x v="1"/>
    <n v="5"/>
    <n v="2"/>
    <x v="1"/>
    <n v="1"/>
    <n v="591"/>
    <n v="2"/>
    <x v="1"/>
    <n v="97"/>
    <n v="3"/>
    <n v="1"/>
    <x v="2"/>
    <n v="3"/>
    <x v="1"/>
    <n v="2093"/>
    <n v="9260"/>
    <n v="4"/>
    <s v="Y"/>
    <s v="No"/>
    <n v="17"/>
    <n v="3"/>
    <n v="4"/>
    <n v="80"/>
    <n v="1"/>
    <n v="8"/>
    <n v="4"/>
    <n v="3"/>
    <n v="2"/>
    <n v="2"/>
    <n v="2"/>
    <n v="0"/>
  </r>
  <r>
    <n v="36"/>
    <x v="0"/>
    <x v="1"/>
    <s v="Non-Travel"/>
    <n v="635"/>
    <x v="0"/>
    <n v="10"/>
    <n v="4"/>
    <x v="2"/>
    <n v="1"/>
    <n v="592"/>
    <n v="2"/>
    <x v="1"/>
    <n v="32"/>
    <n v="3"/>
    <n v="3"/>
    <x v="0"/>
    <n v="4"/>
    <x v="0"/>
    <n v="9980"/>
    <n v="15318"/>
    <n v="1"/>
    <s v="Y"/>
    <s v="No"/>
    <n v="14"/>
    <n v="3"/>
    <n v="4"/>
    <n v="80"/>
    <n v="0"/>
    <n v="10"/>
    <n v="3"/>
    <n v="2"/>
    <n v="10"/>
    <n v="3"/>
    <n v="9"/>
    <n v="7"/>
  </r>
  <r>
    <n v="22"/>
    <x v="3"/>
    <x v="0"/>
    <s v="Travel_Frequently"/>
    <n v="1368"/>
    <x v="1"/>
    <n v="4"/>
    <n v="1"/>
    <x v="4"/>
    <n v="1"/>
    <n v="593"/>
    <n v="3"/>
    <x v="1"/>
    <n v="99"/>
    <n v="2"/>
    <n v="1"/>
    <x v="2"/>
    <n v="3"/>
    <x v="0"/>
    <n v="3894"/>
    <n v="9129"/>
    <n v="5"/>
    <s v="Y"/>
    <s v="No"/>
    <n v="16"/>
    <n v="3"/>
    <n v="3"/>
    <n v="80"/>
    <n v="0"/>
    <n v="4"/>
    <n v="3"/>
    <n v="3"/>
    <n v="2"/>
    <n v="2"/>
    <n v="1"/>
    <n v="2"/>
  </r>
  <r>
    <n v="48"/>
    <x v="1"/>
    <x v="1"/>
    <s v="Travel_Rarely"/>
    <n v="163"/>
    <x v="0"/>
    <n v="2"/>
    <n v="5"/>
    <x v="3"/>
    <n v="1"/>
    <n v="595"/>
    <n v="2"/>
    <x v="0"/>
    <n v="37"/>
    <n v="3"/>
    <n v="2"/>
    <x v="0"/>
    <n v="4"/>
    <x v="1"/>
    <n v="4051"/>
    <n v="19658"/>
    <n v="2"/>
    <s v="Y"/>
    <s v="No"/>
    <n v="14"/>
    <n v="3"/>
    <n v="1"/>
    <n v="80"/>
    <n v="1"/>
    <n v="14"/>
    <n v="2"/>
    <n v="3"/>
    <n v="9"/>
    <n v="7"/>
    <n v="6"/>
    <n v="7"/>
  </r>
  <r>
    <n v="55"/>
    <x v="1"/>
    <x v="1"/>
    <s v="Travel_Rarely"/>
    <n v="1117"/>
    <x v="0"/>
    <n v="18"/>
    <n v="5"/>
    <x v="0"/>
    <n v="1"/>
    <n v="597"/>
    <n v="1"/>
    <x v="0"/>
    <n v="83"/>
    <n v="3"/>
    <n v="4"/>
    <x v="5"/>
    <n v="2"/>
    <x v="0"/>
    <n v="16835"/>
    <n v="9873"/>
    <n v="3"/>
    <s v="Y"/>
    <s v="No"/>
    <n v="23"/>
    <n v="4"/>
    <n v="4"/>
    <n v="80"/>
    <n v="0"/>
    <n v="37"/>
    <n v="2"/>
    <n v="3"/>
    <n v="10"/>
    <n v="9"/>
    <n v="7"/>
    <n v="7"/>
  </r>
  <r>
    <n v="41"/>
    <x v="0"/>
    <x v="1"/>
    <s v="Non-Travel"/>
    <n v="267"/>
    <x v="0"/>
    <n v="10"/>
    <n v="2"/>
    <x v="0"/>
    <n v="1"/>
    <n v="599"/>
    <n v="4"/>
    <x v="1"/>
    <n v="56"/>
    <n v="3"/>
    <n v="2"/>
    <x v="0"/>
    <n v="4"/>
    <x v="0"/>
    <n v="6230"/>
    <n v="13430"/>
    <n v="7"/>
    <s v="Y"/>
    <s v="No"/>
    <n v="14"/>
    <n v="3"/>
    <n v="4"/>
    <n v="80"/>
    <n v="0"/>
    <n v="16"/>
    <n v="3"/>
    <n v="3"/>
    <n v="14"/>
    <n v="3"/>
    <n v="1"/>
    <n v="10"/>
  </r>
  <r>
    <n v="35"/>
    <x v="2"/>
    <x v="1"/>
    <s v="Travel_Rarely"/>
    <n v="619"/>
    <x v="0"/>
    <n v="1"/>
    <n v="3"/>
    <x v="3"/>
    <n v="1"/>
    <n v="600"/>
    <n v="2"/>
    <x v="1"/>
    <n v="85"/>
    <n v="3"/>
    <n v="2"/>
    <x v="0"/>
    <n v="3"/>
    <x v="1"/>
    <n v="4717"/>
    <n v="18659"/>
    <n v="9"/>
    <s v="Y"/>
    <s v="No"/>
    <n v="11"/>
    <n v="3"/>
    <n v="3"/>
    <n v="80"/>
    <n v="0"/>
    <n v="15"/>
    <n v="2"/>
    <n v="3"/>
    <n v="11"/>
    <n v="9"/>
    <n v="6"/>
    <n v="9"/>
  </r>
  <r>
    <n v="40"/>
    <x v="0"/>
    <x v="1"/>
    <s v="Travel_Rarely"/>
    <n v="302"/>
    <x v="1"/>
    <n v="6"/>
    <n v="3"/>
    <x v="0"/>
    <n v="1"/>
    <n v="601"/>
    <n v="2"/>
    <x v="0"/>
    <n v="75"/>
    <n v="3"/>
    <n v="4"/>
    <x v="3"/>
    <n v="3"/>
    <x v="0"/>
    <n v="13237"/>
    <n v="20364"/>
    <n v="7"/>
    <s v="Y"/>
    <s v="No"/>
    <n v="15"/>
    <n v="3"/>
    <n v="3"/>
    <n v="80"/>
    <n v="0"/>
    <n v="22"/>
    <n v="3"/>
    <n v="3"/>
    <n v="20"/>
    <n v="6"/>
    <n v="5"/>
    <n v="13"/>
  </r>
  <r>
    <n v="39"/>
    <x v="0"/>
    <x v="1"/>
    <s v="Travel_Frequently"/>
    <n v="443"/>
    <x v="1"/>
    <n v="8"/>
    <n v="1"/>
    <x v="0"/>
    <n v="1"/>
    <n v="602"/>
    <n v="3"/>
    <x v="0"/>
    <n v="48"/>
    <n v="3"/>
    <n v="1"/>
    <x v="2"/>
    <n v="3"/>
    <x v="1"/>
    <n v="3755"/>
    <n v="17872"/>
    <n v="1"/>
    <s v="Y"/>
    <s v="No"/>
    <n v="11"/>
    <n v="3"/>
    <n v="1"/>
    <n v="80"/>
    <n v="1"/>
    <n v="8"/>
    <n v="3"/>
    <n v="3"/>
    <n v="8"/>
    <n v="3"/>
    <n v="0"/>
    <n v="7"/>
  </r>
  <r>
    <n v="31"/>
    <x v="2"/>
    <x v="1"/>
    <s v="Travel_Rarely"/>
    <n v="828"/>
    <x v="0"/>
    <n v="2"/>
    <n v="1"/>
    <x v="0"/>
    <n v="1"/>
    <n v="604"/>
    <n v="2"/>
    <x v="1"/>
    <n v="77"/>
    <n v="3"/>
    <n v="2"/>
    <x v="0"/>
    <n v="4"/>
    <x v="0"/>
    <n v="6582"/>
    <n v="8346"/>
    <n v="4"/>
    <s v="Y"/>
    <s v="Yes"/>
    <n v="13"/>
    <n v="3"/>
    <n v="3"/>
    <n v="80"/>
    <n v="0"/>
    <n v="10"/>
    <n v="2"/>
    <n v="4"/>
    <n v="6"/>
    <n v="5"/>
    <n v="0"/>
    <n v="5"/>
  </r>
  <r>
    <n v="42"/>
    <x v="0"/>
    <x v="1"/>
    <s v="Travel_Rarely"/>
    <n v="319"/>
    <x v="1"/>
    <n v="24"/>
    <n v="3"/>
    <x v="2"/>
    <n v="1"/>
    <n v="605"/>
    <n v="4"/>
    <x v="1"/>
    <n v="56"/>
    <n v="3"/>
    <n v="3"/>
    <x v="3"/>
    <n v="1"/>
    <x v="1"/>
    <n v="7406"/>
    <n v="6950"/>
    <n v="1"/>
    <s v="Y"/>
    <s v="Yes"/>
    <n v="21"/>
    <n v="4"/>
    <n v="4"/>
    <n v="80"/>
    <n v="1"/>
    <n v="10"/>
    <n v="5"/>
    <n v="2"/>
    <n v="10"/>
    <n v="9"/>
    <n v="5"/>
    <n v="8"/>
  </r>
  <r>
    <n v="45"/>
    <x v="0"/>
    <x v="1"/>
    <s v="Travel_Rarely"/>
    <n v="561"/>
    <x v="0"/>
    <n v="2"/>
    <n v="3"/>
    <x v="1"/>
    <n v="1"/>
    <n v="606"/>
    <n v="4"/>
    <x v="1"/>
    <n v="61"/>
    <n v="3"/>
    <n v="2"/>
    <x v="0"/>
    <n v="2"/>
    <x v="1"/>
    <n v="4805"/>
    <n v="16177"/>
    <n v="0"/>
    <s v="Y"/>
    <s v="No"/>
    <n v="19"/>
    <n v="3"/>
    <n v="2"/>
    <n v="80"/>
    <n v="1"/>
    <n v="9"/>
    <n v="3"/>
    <n v="4"/>
    <n v="8"/>
    <n v="7"/>
    <n v="3"/>
    <n v="7"/>
  </r>
  <r>
    <n v="26"/>
    <x v="2"/>
    <x v="0"/>
    <s v="Travel_Frequently"/>
    <n v="426"/>
    <x v="2"/>
    <n v="17"/>
    <n v="4"/>
    <x v="0"/>
    <n v="1"/>
    <n v="608"/>
    <n v="2"/>
    <x v="0"/>
    <n v="58"/>
    <n v="3"/>
    <n v="1"/>
    <x v="8"/>
    <n v="3"/>
    <x v="2"/>
    <n v="2741"/>
    <n v="22808"/>
    <n v="0"/>
    <s v="Y"/>
    <s v="Yes"/>
    <n v="11"/>
    <n v="3"/>
    <n v="2"/>
    <n v="80"/>
    <n v="1"/>
    <n v="8"/>
    <n v="2"/>
    <n v="2"/>
    <n v="7"/>
    <n v="7"/>
    <n v="1"/>
    <n v="0"/>
  </r>
  <r>
    <n v="29"/>
    <x v="2"/>
    <x v="1"/>
    <s v="Travel_Rarely"/>
    <n v="232"/>
    <x v="1"/>
    <n v="19"/>
    <n v="3"/>
    <x v="4"/>
    <n v="1"/>
    <n v="611"/>
    <n v="4"/>
    <x v="1"/>
    <n v="34"/>
    <n v="3"/>
    <n v="2"/>
    <x v="3"/>
    <n v="4"/>
    <x v="2"/>
    <n v="4262"/>
    <n v="22645"/>
    <n v="4"/>
    <s v="Y"/>
    <s v="No"/>
    <n v="12"/>
    <n v="3"/>
    <n v="2"/>
    <n v="80"/>
    <n v="2"/>
    <n v="8"/>
    <n v="2"/>
    <n v="4"/>
    <n v="3"/>
    <n v="2"/>
    <n v="1"/>
    <n v="2"/>
  </r>
  <r>
    <n v="33"/>
    <x v="2"/>
    <x v="1"/>
    <s v="Travel_Rarely"/>
    <n v="922"/>
    <x v="1"/>
    <n v="1"/>
    <n v="5"/>
    <x v="2"/>
    <n v="1"/>
    <n v="612"/>
    <n v="1"/>
    <x v="0"/>
    <n v="95"/>
    <n v="4"/>
    <n v="4"/>
    <x v="7"/>
    <n v="3"/>
    <x v="2"/>
    <n v="16184"/>
    <n v="22578"/>
    <n v="4"/>
    <s v="Y"/>
    <s v="No"/>
    <n v="19"/>
    <n v="3"/>
    <n v="3"/>
    <n v="80"/>
    <n v="1"/>
    <n v="10"/>
    <n v="2"/>
    <n v="3"/>
    <n v="6"/>
    <n v="1"/>
    <n v="0"/>
    <n v="5"/>
  </r>
  <r>
    <n v="31"/>
    <x v="2"/>
    <x v="1"/>
    <s v="Travel_Rarely"/>
    <n v="688"/>
    <x v="0"/>
    <n v="7"/>
    <n v="3"/>
    <x v="0"/>
    <n v="1"/>
    <n v="613"/>
    <n v="3"/>
    <x v="1"/>
    <n v="44"/>
    <n v="2"/>
    <n v="3"/>
    <x v="5"/>
    <n v="4"/>
    <x v="2"/>
    <n v="11557"/>
    <n v="25291"/>
    <n v="9"/>
    <s v="Y"/>
    <s v="No"/>
    <n v="21"/>
    <n v="4"/>
    <n v="3"/>
    <n v="80"/>
    <n v="1"/>
    <n v="10"/>
    <n v="3"/>
    <n v="2"/>
    <n v="5"/>
    <n v="4"/>
    <n v="0"/>
    <n v="1"/>
  </r>
  <r>
    <n v="18"/>
    <x v="3"/>
    <x v="0"/>
    <s v="Travel_Frequently"/>
    <n v="1306"/>
    <x v="0"/>
    <n v="5"/>
    <n v="3"/>
    <x v="3"/>
    <n v="1"/>
    <n v="614"/>
    <n v="2"/>
    <x v="1"/>
    <n v="69"/>
    <n v="3"/>
    <n v="1"/>
    <x v="6"/>
    <n v="2"/>
    <x v="0"/>
    <n v="1878"/>
    <n v="8059"/>
    <n v="1"/>
    <s v="Y"/>
    <s v="Yes"/>
    <n v="14"/>
    <n v="3"/>
    <n v="4"/>
    <n v="80"/>
    <n v="0"/>
    <n v="0"/>
    <n v="3"/>
    <n v="3"/>
    <n v="0"/>
    <n v="0"/>
    <n v="0"/>
    <n v="0"/>
  </r>
  <r>
    <n v="40"/>
    <x v="0"/>
    <x v="1"/>
    <s v="Non-Travel"/>
    <n v="1094"/>
    <x v="0"/>
    <n v="28"/>
    <n v="3"/>
    <x v="1"/>
    <n v="1"/>
    <n v="615"/>
    <n v="3"/>
    <x v="1"/>
    <n v="58"/>
    <n v="1"/>
    <n v="3"/>
    <x v="0"/>
    <n v="1"/>
    <x v="2"/>
    <n v="10932"/>
    <n v="11373"/>
    <n v="3"/>
    <s v="Y"/>
    <s v="No"/>
    <n v="15"/>
    <n v="3"/>
    <n v="3"/>
    <n v="80"/>
    <n v="1"/>
    <n v="20"/>
    <n v="2"/>
    <n v="3"/>
    <n v="1"/>
    <n v="0"/>
    <n v="0"/>
    <n v="1"/>
  </r>
  <r>
    <n v="41"/>
    <x v="0"/>
    <x v="1"/>
    <s v="Non-Travel"/>
    <n v="509"/>
    <x v="1"/>
    <n v="2"/>
    <n v="4"/>
    <x v="1"/>
    <n v="1"/>
    <n v="616"/>
    <n v="1"/>
    <x v="0"/>
    <n v="62"/>
    <n v="2"/>
    <n v="2"/>
    <x v="4"/>
    <n v="3"/>
    <x v="0"/>
    <n v="6811"/>
    <n v="2112"/>
    <n v="2"/>
    <s v="Y"/>
    <s v="Yes"/>
    <n v="17"/>
    <n v="3"/>
    <n v="1"/>
    <n v="80"/>
    <n v="0"/>
    <n v="10"/>
    <n v="3"/>
    <n v="3"/>
    <n v="8"/>
    <n v="7"/>
    <n v="0"/>
    <n v="7"/>
  </r>
  <r>
    <n v="26"/>
    <x v="2"/>
    <x v="1"/>
    <s v="Travel_Rarely"/>
    <n v="775"/>
    <x v="0"/>
    <n v="29"/>
    <n v="2"/>
    <x v="2"/>
    <n v="1"/>
    <n v="618"/>
    <n v="1"/>
    <x v="1"/>
    <n v="45"/>
    <n v="3"/>
    <n v="2"/>
    <x v="0"/>
    <n v="3"/>
    <x v="2"/>
    <n v="4306"/>
    <n v="4267"/>
    <n v="5"/>
    <s v="Y"/>
    <s v="No"/>
    <n v="12"/>
    <n v="3"/>
    <n v="1"/>
    <n v="80"/>
    <n v="2"/>
    <n v="8"/>
    <n v="5"/>
    <n v="3"/>
    <n v="0"/>
    <n v="0"/>
    <n v="0"/>
    <n v="0"/>
  </r>
  <r>
    <n v="35"/>
    <x v="2"/>
    <x v="1"/>
    <s v="Travel_Rarely"/>
    <n v="195"/>
    <x v="0"/>
    <n v="1"/>
    <n v="3"/>
    <x v="2"/>
    <n v="1"/>
    <n v="620"/>
    <n v="1"/>
    <x v="0"/>
    <n v="80"/>
    <n v="3"/>
    <n v="2"/>
    <x v="0"/>
    <n v="3"/>
    <x v="0"/>
    <n v="4859"/>
    <n v="6698"/>
    <n v="1"/>
    <s v="Y"/>
    <s v="No"/>
    <n v="16"/>
    <n v="3"/>
    <n v="4"/>
    <n v="80"/>
    <n v="0"/>
    <n v="5"/>
    <n v="3"/>
    <n v="3"/>
    <n v="5"/>
    <n v="4"/>
    <n v="0"/>
    <n v="3"/>
  </r>
  <r>
    <n v="34"/>
    <x v="2"/>
    <x v="1"/>
    <s v="Travel_Rarely"/>
    <n v="258"/>
    <x v="0"/>
    <n v="21"/>
    <n v="4"/>
    <x v="0"/>
    <n v="1"/>
    <n v="621"/>
    <n v="4"/>
    <x v="1"/>
    <n v="74"/>
    <n v="4"/>
    <n v="2"/>
    <x v="0"/>
    <n v="4"/>
    <x v="0"/>
    <n v="5337"/>
    <n v="19921"/>
    <n v="1"/>
    <s v="Y"/>
    <s v="No"/>
    <n v="12"/>
    <n v="3"/>
    <n v="4"/>
    <n v="80"/>
    <n v="0"/>
    <n v="10"/>
    <n v="3"/>
    <n v="3"/>
    <n v="10"/>
    <n v="7"/>
    <n v="5"/>
    <n v="7"/>
  </r>
  <r>
    <n v="26"/>
    <x v="2"/>
    <x v="0"/>
    <s v="Travel_Rarely"/>
    <n v="471"/>
    <x v="1"/>
    <n v="24"/>
    <n v="3"/>
    <x v="4"/>
    <n v="1"/>
    <n v="622"/>
    <n v="3"/>
    <x v="1"/>
    <n v="66"/>
    <n v="1"/>
    <n v="1"/>
    <x v="2"/>
    <n v="4"/>
    <x v="0"/>
    <n v="2340"/>
    <n v="23213"/>
    <n v="1"/>
    <s v="Y"/>
    <s v="Yes"/>
    <n v="18"/>
    <n v="3"/>
    <n v="2"/>
    <n v="80"/>
    <n v="0"/>
    <n v="1"/>
    <n v="3"/>
    <n v="1"/>
    <n v="1"/>
    <n v="0"/>
    <n v="0"/>
    <n v="0"/>
  </r>
  <r>
    <n v="37"/>
    <x v="0"/>
    <x v="1"/>
    <s v="Travel_Rarely"/>
    <n v="799"/>
    <x v="1"/>
    <n v="1"/>
    <n v="3"/>
    <x v="4"/>
    <n v="1"/>
    <n v="623"/>
    <n v="2"/>
    <x v="0"/>
    <n v="59"/>
    <n v="3"/>
    <n v="3"/>
    <x v="3"/>
    <n v="4"/>
    <x v="0"/>
    <n v="7491"/>
    <n v="23848"/>
    <n v="4"/>
    <s v="Y"/>
    <s v="No"/>
    <n v="17"/>
    <n v="3"/>
    <n v="4"/>
    <n v="80"/>
    <n v="0"/>
    <n v="12"/>
    <n v="3"/>
    <n v="4"/>
    <n v="6"/>
    <n v="5"/>
    <n v="1"/>
    <n v="2"/>
  </r>
  <r>
    <n v="46"/>
    <x v="1"/>
    <x v="1"/>
    <s v="Travel_Frequently"/>
    <n v="1034"/>
    <x v="1"/>
    <n v="18"/>
    <n v="1"/>
    <x v="2"/>
    <n v="1"/>
    <n v="624"/>
    <n v="1"/>
    <x v="0"/>
    <n v="86"/>
    <n v="3"/>
    <n v="3"/>
    <x v="4"/>
    <n v="3"/>
    <x v="1"/>
    <n v="10527"/>
    <n v="8984"/>
    <n v="5"/>
    <s v="Y"/>
    <s v="No"/>
    <n v="11"/>
    <n v="3"/>
    <n v="4"/>
    <n v="80"/>
    <n v="0"/>
    <n v="28"/>
    <n v="3"/>
    <n v="2"/>
    <n v="2"/>
    <n v="2"/>
    <n v="1"/>
    <n v="2"/>
  </r>
  <r>
    <n v="41"/>
    <x v="0"/>
    <x v="1"/>
    <s v="Travel_Rarely"/>
    <n v="1276"/>
    <x v="0"/>
    <n v="2"/>
    <n v="5"/>
    <x v="0"/>
    <n v="1"/>
    <n v="625"/>
    <n v="2"/>
    <x v="0"/>
    <n v="91"/>
    <n v="3"/>
    <n v="4"/>
    <x v="5"/>
    <n v="1"/>
    <x v="1"/>
    <n v="16595"/>
    <n v="5626"/>
    <n v="7"/>
    <s v="Y"/>
    <s v="No"/>
    <n v="16"/>
    <n v="3"/>
    <n v="2"/>
    <n v="80"/>
    <n v="1"/>
    <n v="22"/>
    <n v="2"/>
    <n v="3"/>
    <n v="18"/>
    <n v="16"/>
    <n v="11"/>
    <n v="8"/>
  </r>
  <r>
    <n v="37"/>
    <x v="0"/>
    <x v="1"/>
    <s v="Non-Travel"/>
    <n v="142"/>
    <x v="0"/>
    <n v="9"/>
    <n v="4"/>
    <x v="2"/>
    <n v="1"/>
    <n v="626"/>
    <n v="1"/>
    <x v="1"/>
    <n v="69"/>
    <n v="3"/>
    <n v="3"/>
    <x v="0"/>
    <n v="2"/>
    <x v="2"/>
    <n v="8834"/>
    <n v="24666"/>
    <n v="1"/>
    <s v="Y"/>
    <s v="No"/>
    <n v="13"/>
    <n v="3"/>
    <n v="4"/>
    <n v="80"/>
    <n v="1"/>
    <n v="9"/>
    <n v="6"/>
    <n v="3"/>
    <n v="9"/>
    <n v="5"/>
    <n v="7"/>
    <n v="7"/>
  </r>
  <r>
    <n v="52"/>
    <x v="1"/>
    <x v="1"/>
    <s v="Travel_Rarely"/>
    <n v="956"/>
    <x v="1"/>
    <n v="6"/>
    <n v="2"/>
    <x v="4"/>
    <n v="1"/>
    <n v="630"/>
    <n v="4"/>
    <x v="1"/>
    <n v="78"/>
    <n v="3"/>
    <n v="2"/>
    <x v="1"/>
    <n v="1"/>
    <x v="2"/>
    <n v="5577"/>
    <n v="22087"/>
    <n v="3"/>
    <s v="Y"/>
    <s v="Yes"/>
    <n v="12"/>
    <n v="3"/>
    <n v="2"/>
    <n v="80"/>
    <n v="2"/>
    <n v="18"/>
    <n v="3"/>
    <n v="3"/>
    <n v="10"/>
    <n v="9"/>
    <n v="6"/>
    <n v="9"/>
  </r>
  <r>
    <n v="32"/>
    <x v="2"/>
    <x v="0"/>
    <s v="Non-Travel"/>
    <n v="1474"/>
    <x v="0"/>
    <n v="11"/>
    <n v="4"/>
    <x v="1"/>
    <n v="1"/>
    <n v="631"/>
    <n v="4"/>
    <x v="1"/>
    <n v="60"/>
    <n v="4"/>
    <n v="2"/>
    <x v="0"/>
    <n v="3"/>
    <x v="1"/>
    <n v="4707"/>
    <n v="23914"/>
    <n v="8"/>
    <s v="Y"/>
    <s v="No"/>
    <n v="12"/>
    <n v="3"/>
    <n v="4"/>
    <n v="80"/>
    <n v="0"/>
    <n v="6"/>
    <n v="2"/>
    <n v="3"/>
    <n v="4"/>
    <n v="2"/>
    <n v="1"/>
    <n v="2"/>
  </r>
  <r>
    <n v="24"/>
    <x v="3"/>
    <x v="1"/>
    <s v="Travel_Frequently"/>
    <n v="535"/>
    <x v="0"/>
    <n v="24"/>
    <n v="3"/>
    <x v="2"/>
    <n v="1"/>
    <n v="632"/>
    <n v="4"/>
    <x v="1"/>
    <n v="38"/>
    <n v="3"/>
    <n v="1"/>
    <x v="6"/>
    <n v="4"/>
    <x v="1"/>
    <n v="2400"/>
    <n v="5530"/>
    <n v="0"/>
    <s v="Y"/>
    <s v="No"/>
    <n v="13"/>
    <n v="3"/>
    <n v="3"/>
    <n v="80"/>
    <n v="2"/>
    <n v="3"/>
    <n v="3"/>
    <n v="3"/>
    <n v="2"/>
    <n v="2"/>
    <n v="2"/>
    <n v="1"/>
  </r>
  <r>
    <n v="38"/>
    <x v="0"/>
    <x v="1"/>
    <s v="Travel_Rarely"/>
    <n v="1495"/>
    <x v="1"/>
    <n v="10"/>
    <n v="3"/>
    <x v="2"/>
    <n v="1"/>
    <n v="634"/>
    <n v="3"/>
    <x v="0"/>
    <n v="76"/>
    <n v="3"/>
    <n v="2"/>
    <x v="4"/>
    <n v="3"/>
    <x v="1"/>
    <n v="9824"/>
    <n v="22174"/>
    <n v="3"/>
    <s v="Y"/>
    <s v="No"/>
    <n v="19"/>
    <n v="3"/>
    <n v="3"/>
    <n v="80"/>
    <n v="1"/>
    <n v="18"/>
    <n v="4"/>
    <n v="3"/>
    <n v="1"/>
    <n v="0"/>
    <n v="0"/>
    <n v="0"/>
  </r>
  <r>
    <n v="37"/>
    <x v="0"/>
    <x v="1"/>
    <s v="Travel_Rarely"/>
    <n v="446"/>
    <x v="1"/>
    <n v="1"/>
    <n v="4"/>
    <x v="0"/>
    <n v="1"/>
    <n v="635"/>
    <n v="2"/>
    <x v="0"/>
    <n v="65"/>
    <n v="3"/>
    <n v="2"/>
    <x v="3"/>
    <n v="2"/>
    <x v="1"/>
    <n v="6447"/>
    <n v="15701"/>
    <n v="6"/>
    <s v="Y"/>
    <s v="No"/>
    <n v="12"/>
    <n v="3"/>
    <n v="2"/>
    <n v="80"/>
    <n v="1"/>
    <n v="8"/>
    <n v="2"/>
    <n v="2"/>
    <n v="6"/>
    <n v="5"/>
    <n v="4"/>
    <n v="3"/>
  </r>
  <r>
    <n v="49"/>
    <x v="1"/>
    <x v="1"/>
    <s v="Travel_Rarely"/>
    <n v="1245"/>
    <x v="1"/>
    <n v="18"/>
    <n v="4"/>
    <x v="0"/>
    <n v="1"/>
    <n v="638"/>
    <n v="4"/>
    <x v="1"/>
    <n v="58"/>
    <n v="2"/>
    <n v="5"/>
    <x v="7"/>
    <n v="3"/>
    <x v="2"/>
    <n v="19502"/>
    <n v="2125"/>
    <n v="1"/>
    <s v="Y"/>
    <s v="Yes"/>
    <n v="17"/>
    <n v="3"/>
    <n v="3"/>
    <n v="80"/>
    <n v="1"/>
    <n v="31"/>
    <n v="5"/>
    <n v="3"/>
    <n v="31"/>
    <n v="9"/>
    <n v="0"/>
    <n v="9"/>
  </r>
  <r>
    <n v="24"/>
    <x v="3"/>
    <x v="1"/>
    <s v="Travel_Rarely"/>
    <n v="691"/>
    <x v="1"/>
    <n v="23"/>
    <n v="3"/>
    <x v="2"/>
    <n v="1"/>
    <n v="639"/>
    <n v="2"/>
    <x v="1"/>
    <n v="89"/>
    <n v="4"/>
    <n v="1"/>
    <x v="1"/>
    <n v="4"/>
    <x v="1"/>
    <n v="2725"/>
    <n v="21630"/>
    <n v="1"/>
    <s v="Y"/>
    <s v="Yes"/>
    <n v="11"/>
    <n v="3"/>
    <n v="2"/>
    <n v="80"/>
    <n v="2"/>
    <n v="6"/>
    <n v="3"/>
    <n v="3"/>
    <n v="6"/>
    <n v="5"/>
    <n v="1"/>
    <n v="4"/>
  </r>
  <r>
    <n v="26"/>
    <x v="2"/>
    <x v="1"/>
    <s v="Travel_Rarely"/>
    <n v="703"/>
    <x v="0"/>
    <n v="28"/>
    <n v="2"/>
    <x v="3"/>
    <n v="1"/>
    <n v="641"/>
    <n v="1"/>
    <x v="1"/>
    <n v="66"/>
    <n v="3"/>
    <n v="2"/>
    <x v="0"/>
    <n v="2"/>
    <x v="1"/>
    <n v="6272"/>
    <n v="7428"/>
    <n v="1"/>
    <s v="Y"/>
    <s v="No"/>
    <n v="20"/>
    <n v="4"/>
    <n v="4"/>
    <n v="80"/>
    <n v="2"/>
    <n v="6"/>
    <n v="5"/>
    <n v="4"/>
    <n v="5"/>
    <n v="3"/>
    <n v="1"/>
    <n v="4"/>
  </r>
  <r>
    <n v="24"/>
    <x v="3"/>
    <x v="1"/>
    <s v="Travel_Rarely"/>
    <n v="823"/>
    <x v="1"/>
    <n v="17"/>
    <n v="2"/>
    <x v="1"/>
    <n v="1"/>
    <n v="643"/>
    <n v="4"/>
    <x v="1"/>
    <n v="94"/>
    <n v="2"/>
    <n v="1"/>
    <x v="2"/>
    <n v="2"/>
    <x v="1"/>
    <n v="2127"/>
    <n v="9100"/>
    <n v="1"/>
    <s v="Y"/>
    <s v="No"/>
    <n v="21"/>
    <n v="4"/>
    <n v="4"/>
    <n v="80"/>
    <n v="1"/>
    <n v="1"/>
    <n v="2"/>
    <n v="3"/>
    <n v="1"/>
    <n v="0"/>
    <n v="0"/>
    <n v="0"/>
  </r>
  <r>
    <n v="50"/>
    <x v="1"/>
    <x v="1"/>
    <s v="Travel_Frequently"/>
    <n v="1246"/>
    <x v="2"/>
    <n v="3"/>
    <n v="3"/>
    <x v="2"/>
    <n v="1"/>
    <n v="644"/>
    <n v="1"/>
    <x v="1"/>
    <n v="99"/>
    <n v="3"/>
    <n v="5"/>
    <x v="5"/>
    <n v="2"/>
    <x v="1"/>
    <n v="18200"/>
    <n v="7999"/>
    <n v="1"/>
    <s v="Y"/>
    <s v="No"/>
    <n v="11"/>
    <n v="3"/>
    <n v="3"/>
    <n v="80"/>
    <n v="1"/>
    <n v="32"/>
    <n v="2"/>
    <n v="3"/>
    <n v="32"/>
    <n v="5"/>
    <n v="10"/>
    <n v="7"/>
  </r>
  <r>
    <n v="25"/>
    <x v="3"/>
    <x v="1"/>
    <s v="Travel_Rarely"/>
    <n v="622"/>
    <x v="0"/>
    <n v="13"/>
    <n v="1"/>
    <x v="2"/>
    <n v="1"/>
    <n v="645"/>
    <n v="2"/>
    <x v="1"/>
    <n v="40"/>
    <n v="3"/>
    <n v="1"/>
    <x v="6"/>
    <n v="3"/>
    <x v="1"/>
    <n v="2096"/>
    <n v="26376"/>
    <n v="1"/>
    <s v="Y"/>
    <s v="No"/>
    <n v="11"/>
    <n v="3"/>
    <n v="3"/>
    <n v="80"/>
    <n v="0"/>
    <n v="7"/>
    <n v="1"/>
    <n v="3"/>
    <n v="7"/>
    <n v="4"/>
    <n v="0"/>
    <n v="6"/>
  </r>
  <r>
    <n v="24"/>
    <x v="3"/>
    <x v="0"/>
    <s v="Travel_Frequently"/>
    <n v="1287"/>
    <x v="1"/>
    <n v="7"/>
    <n v="3"/>
    <x v="0"/>
    <n v="1"/>
    <n v="647"/>
    <n v="1"/>
    <x v="0"/>
    <n v="55"/>
    <n v="3"/>
    <n v="1"/>
    <x v="2"/>
    <n v="3"/>
    <x v="1"/>
    <n v="2886"/>
    <n v="14168"/>
    <n v="1"/>
    <s v="Y"/>
    <s v="Yes"/>
    <n v="16"/>
    <n v="3"/>
    <n v="4"/>
    <n v="80"/>
    <n v="1"/>
    <n v="6"/>
    <n v="4"/>
    <n v="3"/>
    <n v="6"/>
    <n v="3"/>
    <n v="1"/>
    <n v="2"/>
  </r>
  <r>
    <n v="30"/>
    <x v="2"/>
    <x v="0"/>
    <s v="Travel_Frequently"/>
    <n v="448"/>
    <x v="0"/>
    <n v="12"/>
    <n v="4"/>
    <x v="0"/>
    <n v="1"/>
    <n v="648"/>
    <n v="2"/>
    <x v="1"/>
    <n v="74"/>
    <n v="2"/>
    <n v="1"/>
    <x v="6"/>
    <n v="1"/>
    <x v="1"/>
    <n v="2033"/>
    <n v="14470"/>
    <n v="1"/>
    <s v="Y"/>
    <s v="No"/>
    <n v="18"/>
    <n v="3"/>
    <n v="3"/>
    <n v="80"/>
    <n v="1"/>
    <n v="1"/>
    <n v="2"/>
    <n v="4"/>
    <n v="1"/>
    <n v="0"/>
    <n v="0"/>
    <n v="0"/>
  </r>
  <r>
    <n v="34"/>
    <x v="2"/>
    <x v="1"/>
    <s v="Travel_Rarely"/>
    <n v="254"/>
    <x v="1"/>
    <n v="1"/>
    <n v="2"/>
    <x v="0"/>
    <n v="1"/>
    <n v="649"/>
    <n v="2"/>
    <x v="1"/>
    <n v="83"/>
    <n v="2"/>
    <n v="1"/>
    <x v="1"/>
    <n v="4"/>
    <x v="1"/>
    <n v="3622"/>
    <n v="22794"/>
    <n v="1"/>
    <s v="Y"/>
    <s v="Yes"/>
    <n v="13"/>
    <n v="3"/>
    <n v="4"/>
    <n v="80"/>
    <n v="1"/>
    <n v="6"/>
    <n v="3"/>
    <n v="3"/>
    <n v="6"/>
    <n v="5"/>
    <n v="1"/>
    <n v="3"/>
  </r>
  <r>
    <n v="31"/>
    <x v="2"/>
    <x v="0"/>
    <s v="Travel_Rarely"/>
    <n v="1365"/>
    <x v="0"/>
    <n v="13"/>
    <n v="4"/>
    <x v="2"/>
    <n v="1"/>
    <n v="650"/>
    <n v="2"/>
    <x v="1"/>
    <n v="46"/>
    <n v="3"/>
    <n v="2"/>
    <x v="0"/>
    <n v="1"/>
    <x v="2"/>
    <n v="4233"/>
    <n v="11512"/>
    <n v="2"/>
    <s v="Y"/>
    <s v="No"/>
    <n v="17"/>
    <n v="3"/>
    <n v="3"/>
    <n v="80"/>
    <n v="0"/>
    <n v="9"/>
    <n v="2"/>
    <n v="1"/>
    <n v="3"/>
    <n v="1"/>
    <n v="1"/>
    <n v="2"/>
  </r>
  <r>
    <n v="35"/>
    <x v="2"/>
    <x v="1"/>
    <s v="Travel_Rarely"/>
    <n v="538"/>
    <x v="1"/>
    <n v="25"/>
    <n v="2"/>
    <x v="1"/>
    <n v="1"/>
    <n v="652"/>
    <n v="1"/>
    <x v="1"/>
    <n v="54"/>
    <n v="2"/>
    <n v="2"/>
    <x v="2"/>
    <n v="4"/>
    <x v="0"/>
    <n v="3681"/>
    <n v="14004"/>
    <n v="4"/>
    <s v="Y"/>
    <s v="No"/>
    <n v="14"/>
    <n v="3"/>
    <n v="4"/>
    <n v="80"/>
    <n v="0"/>
    <n v="9"/>
    <n v="3"/>
    <n v="3"/>
    <n v="3"/>
    <n v="2"/>
    <n v="0"/>
    <n v="2"/>
  </r>
  <r>
    <n v="31"/>
    <x v="2"/>
    <x v="1"/>
    <s v="Travel_Rarely"/>
    <n v="525"/>
    <x v="0"/>
    <n v="6"/>
    <n v="4"/>
    <x v="2"/>
    <n v="1"/>
    <n v="653"/>
    <n v="1"/>
    <x v="1"/>
    <n v="66"/>
    <n v="4"/>
    <n v="2"/>
    <x v="0"/>
    <n v="4"/>
    <x v="2"/>
    <n v="5460"/>
    <n v="6219"/>
    <n v="4"/>
    <s v="Y"/>
    <s v="No"/>
    <n v="22"/>
    <n v="4"/>
    <n v="4"/>
    <n v="80"/>
    <n v="2"/>
    <n v="13"/>
    <n v="4"/>
    <n v="4"/>
    <n v="7"/>
    <n v="7"/>
    <n v="5"/>
    <n v="7"/>
  </r>
  <r>
    <n v="27"/>
    <x v="2"/>
    <x v="1"/>
    <s v="Travel_Rarely"/>
    <n v="798"/>
    <x v="1"/>
    <n v="6"/>
    <n v="4"/>
    <x v="2"/>
    <n v="1"/>
    <n v="655"/>
    <n v="1"/>
    <x v="0"/>
    <n v="66"/>
    <n v="2"/>
    <n v="1"/>
    <x v="1"/>
    <n v="3"/>
    <x v="2"/>
    <n v="2187"/>
    <n v="5013"/>
    <n v="0"/>
    <s v="Y"/>
    <s v="No"/>
    <n v="12"/>
    <n v="3"/>
    <n v="3"/>
    <n v="80"/>
    <n v="2"/>
    <n v="6"/>
    <n v="5"/>
    <n v="2"/>
    <n v="5"/>
    <n v="3"/>
    <n v="0"/>
    <n v="3"/>
  </r>
  <r>
    <n v="37"/>
    <x v="0"/>
    <x v="1"/>
    <s v="Travel_Rarely"/>
    <n v="558"/>
    <x v="0"/>
    <n v="2"/>
    <n v="3"/>
    <x v="3"/>
    <n v="1"/>
    <n v="656"/>
    <n v="4"/>
    <x v="1"/>
    <n v="75"/>
    <n v="3"/>
    <n v="2"/>
    <x v="0"/>
    <n v="3"/>
    <x v="1"/>
    <n v="9602"/>
    <n v="3010"/>
    <n v="4"/>
    <s v="Y"/>
    <s v="Yes"/>
    <n v="11"/>
    <n v="3"/>
    <n v="3"/>
    <n v="80"/>
    <n v="1"/>
    <n v="17"/>
    <n v="3"/>
    <n v="2"/>
    <n v="3"/>
    <n v="0"/>
    <n v="1"/>
    <n v="0"/>
  </r>
  <r>
    <n v="20"/>
    <x v="3"/>
    <x v="1"/>
    <s v="Travel_Rarely"/>
    <n v="959"/>
    <x v="1"/>
    <n v="1"/>
    <n v="3"/>
    <x v="0"/>
    <n v="1"/>
    <n v="657"/>
    <n v="4"/>
    <x v="0"/>
    <n v="83"/>
    <n v="2"/>
    <n v="1"/>
    <x v="1"/>
    <n v="2"/>
    <x v="0"/>
    <n v="2836"/>
    <n v="11757"/>
    <n v="1"/>
    <s v="Y"/>
    <s v="No"/>
    <n v="13"/>
    <n v="3"/>
    <n v="4"/>
    <n v="80"/>
    <n v="0"/>
    <n v="1"/>
    <n v="0"/>
    <n v="4"/>
    <n v="1"/>
    <n v="0"/>
    <n v="0"/>
    <n v="0"/>
  </r>
  <r>
    <n v="42"/>
    <x v="0"/>
    <x v="1"/>
    <s v="Travel_Rarely"/>
    <n v="622"/>
    <x v="1"/>
    <n v="2"/>
    <n v="4"/>
    <x v="0"/>
    <n v="1"/>
    <n v="659"/>
    <n v="3"/>
    <x v="0"/>
    <n v="81"/>
    <n v="3"/>
    <n v="2"/>
    <x v="4"/>
    <n v="4"/>
    <x v="1"/>
    <n v="4089"/>
    <n v="5718"/>
    <n v="1"/>
    <s v="Y"/>
    <s v="No"/>
    <n v="13"/>
    <n v="3"/>
    <n v="2"/>
    <n v="80"/>
    <n v="2"/>
    <n v="10"/>
    <n v="4"/>
    <n v="3"/>
    <n v="10"/>
    <n v="2"/>
    <n v="2"/>
    <n v="2"/>
  </r>
  <r>
    <n v="43"/>
    <x v="0"/>
    <x v="1"/>
    <s v="Travel_Rarely"/>
    <n v="782"/>
    <x v="1"/>
    <n v="6"/>
    <n v="4"/>
    <x v="1"/>
    <n v="1"/>
    <n v="661"/>
    <n v="2"/>
    <x v="1"/>
    <n v="50"/>
    <n v="2"/>
    <n v="4"/>
    <x v="7"/>
    <n v="4"/>
    <x v="2"/>
    <n v="16627"/>
    <n v="2671"/>
    <n v="4"/>
    <s v="Y"/>
    <s v="Yes"/>
    <n v="14"/>
    <n v="3"/>
    <n v="3"/>
    <n v="80"/>
    <n v="1"/>
    <n v="21"/>
    <n v="3"/>
    <n v="2"/>
    <n v="1"/>
    <n v="0"/>
    <n v="0"/>
    <n v="0"/>
  </r>
  <r>
    <n v="38"/>
    <x v="0"/>
    <x v="1"/>
    <s v="Travel_Rarely"/>
    <n v="362"/>
    <x v="1"/>
    <n v="1"/>
    <n v="1"/>
    <x v="0"/>
    <n v="1"/>
    <n v="662"/>
    <n v="3"/>
    <x v="0"/>
    <n v="43"/>
    <n v="3"/>
    <n v="1"/>
    <x v="1"/>
    <n v="1"/>
    <x v="0"/>
    <n v="2619"/>
    <n v="14561"/>
    <n v="3"/>
    <s v="Y"/>
    <s v="No"/>
    <n v="17"/>
    <n v="3"/>
    <n v="4"/>
    <n v="80"/>
    <n v="0"/>
    <n v="8"/>
    <n v="3"/>
    <n v="2"/>
    <n v="0"/>
    <n v="0"/>
    <n v="0"/>
    <n v="0"/>
  </r>
  <r>
    <n v="43"/>
    <x v="0"/>
    <x v="1"/>
    <s v="Travel_Frequently"/>
    <n v="1001"/>
    <x v="1"/>
    <n v="9"/>
    <n v="5"/>
    <x v="2"/>
    <n v="1"/>
    <n v="663"/>
    <n v="4"/>
    <x v="1"/>
    <n v="72"/>
    <n v="3"/>
    <n v="2"/>
    <x v="2"/>
    <n v="3"/>
    <x v="2"/>
    <n v="5679"/>
    <n v="19627"/>
    <n v="3"/>
    <s v="Y"/>
    <s v="Yes"/>
    <n v="13"/>
    <n v="3"/>
    <n v="2"/>
    <n v="80"/>
    <n v="1"/>
    <n v="10"/>
    <n v="3"/>
    <n v="3"/>
    <n v="8"/>
    <n v="7"/>
    <n v="4"/>
    <n v="7"/>
  </r>
  <r>
    <n v="48"/>
    <x v="1"/>
    <x v="1"/>
    <s v="Travel_Rarely"/>
    <n v="1236"/>
    <x v="1"/>
    <n v="1"/>
    <n v="4"/>
    <x v="0"/>
    <n v="1"/>
    <n v="664"/>
    <n v="4"/>
    <x v="0"/>
    <n v="40"/>
    <n v="2"/>
    <n v="4"/>
    <x v="5"/>
    <n v="1"/>
    <x v="1"/>
    <n v="15402"/>
    <n v="17997"/>
    <n v="7"/>
    <s v="Y"/>
    <s v="No"/>
    <n v="11"/>
    <n v="3"/>
    <n v="1"/>
    <n v="80"/>
    <n v="1"/>
    <n v="21"/>
    <n v="3"/>
    <n v="1"/>
    <n v="3"/>
    <n v="2"/>
    <n v="0"/>
    <n v="2"/>
  </r>
  <r>
    <n v="44"/>
    <x v="0"/>
    <x v="1"/>
    <s v="Travel_Rarely"/>
    <n v="1112"/>
    <x v="2"/>
    <n v="1"/>
    <n v="4"/>
    <x v="0"/>
    <n v="1"/>
    <n v="665"/>
    <n v="1"/>
    <x v="0"/>
    <n v="50"/>
    <n v="2"/>
    <n v="2"/>
    <x v="8"/>
    <n v="3"/>
    <x v="0"/>
    <n v="5985"/>
    <n v="26894"/>
    <n v="4"/>
    <s v="Y"/>
    <s v="No"/>
    <n v="11"/>
    <n v="3"/>
    <n v="2"/>
    <n v="80"/>
    <n v="0"/>
    <n v="10"/>
    <n v="1"/>
    <n v="4"/>
    <n v="2"/>
    <n v="2"/>
    <n v="0"/>
    <n v="2"/>
  </r>
  <r>
    <n v="34"/>
    <x v="2"/>
    <x v="1"/>
    <s v="Travel_Rarely"/>
    <n v="204"/>
    <x v="0"/>
    <n v="14"/>
    <n v="3"/>
    <x v="4"/>
    <n v="1"/>
    <n v="666"/>
    <n v="3"/>
    <x v="0"/>
    <n v="31"/>
    <n v="3"/>
    <n v="1"/>
    <x v="6"/>
    <n v="3"/>
    <x v="2"/>
    <n v="2579"/>
    <n v="2912"/>
    <n v="1"/>
    <s v="Y"/>
    <s v="Yes"/>
    <n v="18"/>
    <n v="3"/>
    <n v="4"/>
    <n v="80"/>
    <n v="2"/>
    <n v="8"/>
    <n v="3"/>
    <n v="3"/>
    <n v="8"/>
    <n v="2"/>
    <n v="0"/>
    <n v="6"/>
  </r>
  <r>
    <n v="27"/>
    <x v="2"/>
    <x v="0"/>
    <s v="Travel_Rarely"/>
    <n v="1420"/>
    <x v="0"/>
    <n v="2"/>
    <n v="1"/>
    <x v="3"/>
    <n v="1"/>
    <n v="667"/>
    <n v="3"/>
    <x v="1"/>
    <n v="85"/>
    <n v="3"/>
    <n v="1"/>
    <x v="6"/>
    <n v="1"/>
    <x v="2"/>
    <n v="3041"/>
    <n v="16346"/>
    <n v="0"/>
    <s v="Y"/>
    <s v="No"/>
    <n v="11"/>
    <n v="3"/>
    <n v="2"/>
    <n v="80"/>
    <n v="1"/>
    <n v="5"/>
    <n v="3"/>
    <n v="3"/>
    <n v="4"/>
    <n v="3"/>
    <n v="0"/>
    <n v="2"/>
  </r>
  <r>
    <n v="21"/>
    <x v="3"/>
    <x v="1"/>
    <s v="Travel_Rarely"/>
    <n v="1343"/>
    <x v="0"/>
    <n v="22"/>
    <n v="1"/>
    <x v="4"/>
    <n v="1"/>
    <n v="669"/>
    <n v="3"/>
    <x v="1"/>
    <n v="49"/>
    <n v="3"/>
    <n v="1"/>
    <x v="6"/>
    <n v="3"/>
    <x v="0"/>
    <n v="3447"/>
    <n v="24444"/>
    <n v="1"/>
    <s v="Y"/>
    <s v="No"/>
    <n v="11"/>
    <n v="3"/>
    <n v="3"/>
    <n v="80"/>
    <n v="0"/>
    <n v="3"/>
    <n v="2"/>
    <n v="3"/>
    <n v="3"/>
    <n v="2"/>
    <n v="1"/>
    <n v="2"/>
  </r>
  <r>
    <n v="44"/>
    <x v="0"/>
    <x v="1"/>
    <s v="Travel_Rarely"/>
    <n v="1315"/>
    <x v="1"/>
    <n v="3"/>
    <n v="4"/>
    <x v="1"/>
    <n v="1"/>
    <n v="671"/>
    <n v="4"/>
    <x v="1"/>
    <n v="35"/>
    <n v="3"/>
    <n v="5"/>
    <x v="5"/>
    <n v="4"/>
    <x v="1"/>
    <n v="19513"/>
    <n v="9358"/>
    <n v="4"/>
    <s v="Y"/>
    <s v="Yes"/>
    <n v="12"/>
    <n v="3"/>
    <n v="1"/>
    <n v="80"/>
    <n v="1"/>
    <n v="26"/>
    <n v="2"/>
    <n v="4"/>
    <n v="2"/>
    <n v="2"/>
    <n v="0"/>
    <n v="1"/>
  </r>
  <r>
    <n v="22"/>
    <x v="3"/>
    <x v="1"/>
    <s v="Travel_Rarely"/>
    <n v="604"/>
    <x v="1"/>
    <n v="6"/>
    <n v="1"/>
    <x v="2"/>
    <n v="1"/>
    <n v="675"/>
    <n v="1"/>
    <x v="1"/>
    <n v="69"/>
    <n v="3"/>
    <n v="1"/>
    <x v="1"/>
    <n v="3"/>
    <x v="1"/>
    <n v="2773"/>
    <n v="12145"/>
    <n v="0"/>
    <s v="Y"/>
    <s v="No"/>
    <n v="20"/>
    <n v="4"/>
    <n v="4"/>
    <n v="80"/>
    <n v="0"/>
    <n v="3"/>
    <n v="3"/>
    <n v="3"/>
    <n v="2"/>
    <n v="2"/>
    <n v="2"/>
    <n v="2"/>
  </r>
  <r>
    <n v="33"/>
    <x v="2"/>
    <x v="1"/>
    <s v="Travel_Rarely"/>
    <n v="1216"/>
    <x v="0"/>
    <n v="8"/>
    <n v="4"/>
    <x v="3"/>
    <n v="1"/>
    <n v="677"/>
    <n v="3"/>
    <x v="1"/>
    <n v="39"/>
    <n v="3"/>
    <n v="2"/>
    <x v="0"/>
    <n v="3"/>
    <x v="2"/>
    <n v="7104"/>
    <n v="20431"/>
    <n v="0"/>
    <s v="Y"/>
    <s v="No"/>
    <n v="12"/>
    <n v="3"/>
    <n v="4"/>
    <n v="80"/>
    <n v="0"/>
    <n v="6"/>
    <n v="3"/>
    <n v="3"/>
    <n v="5"/>
    <n v="0"/>
    <n v="1"/>
    <n v="2"/>
  </r>
  <r>
    <n v="32"/>
    <x v="2"/>
    <x v="1"/>
    <s v="Travel_Rarely"/>
    <n v="646"/>
    <x v="1"/>
    <n v="9"/>
    <n v="4"/>
    <x v="0"/>
    <n v="1"/>
    <n v="679"/>
    <n v="1"/>
    <x v="0"/>
    <n v="92"/>
    <n v="3"/>
    <n v="2"/>
    <x v="1"/>
    <n v="4"/>
    <x v="1"/>
    <n v="6322"/>
    <n v="18089"/>
    <n v="1"/>
    <s v="Y"/>
    <s v="Yes"/>
    <n v="12"/>
    <n v="3"/>
    <n v="4"/>
    <n v="80"/>
    <n v="1"/>
    <n v="6"/>
    <n v="2"/>
    <n v="2"/>
    <n v="6"/>
    <n v="4"/>
    <n v="0"/>
    <n v="5"/>
  </r>
  <r>
    <n v="30"/>
    <x v="2"/>
    <x v="1"/>
    <s v="Travel_Frequently"/>
    <n v="160"/>
    <x v="1"/>
    <n v="3"/>
    <n v="3"/>
    <x v="2"/>
    <n v="1"/>
    <n v="680"/>
    <n v="3"/>
    <x v="0"/>
    <n v="71"/>
    <n v="3"/>
    <n v="1"/>
    <x v="1"/>
    <n v="3"/>
    <x v="2"/>
    <n v="2083"/>
    <n v="22653"/>
    <n v="1"/>
    <s v="Y"/>
    <s v="No"/>
    <n v="20"/>
    <n v="4"/>
    <n v="3"/>
    <n v="80"/>
    <n v="1"/>
    <n v="1"/>
    <n v="2"/>
    <n v="3"/>
    <n v="1"/>
    <n v="0"/>
    <n v="0"/>
    <n v="0"/>
  </r>
  <r>
    <n v="53"/>
    <x v="1"/>
    <x v="1"/>
    <s v="Travel_Rarely"/>
    <n v="238"/>
    <x v="0"/>
    <n v="1"/>
    <n v="1"/>
    <x v="2"/>
    <n v="1"/>
    <n v="682"/>
    <n v="4"/>
    <x v="0"/>
    <n v="34"/>
    <n v="3"/>
    <n v="2"/>
    <x v="0"/>
    <n v="1"/>
    <x v="0"/>
    <n v="8381"/>
    <n v="7507"/>
    <n v="7"/>
    <s v="Y"/>
    <s v="No"/>
    <n v="20"/>
    <n v="4"/>
    <n v="4"/>
    <n v="80"/>
    <n v="0"/>
    <n v="18"/>
    <n v="2"/>
    <n v="4"/>
    <n v="14"/>
    <n v="7"/>
    <n v="8"/>
    <n v="10"/>
  </r>
  <r>
    <n v="34"/>
    <x v="2"/>
    <x v="1"/>
    <s v="Travel_Rarely"/>
    <n v="1397"/>
    <x v="1"/>
    <n v="1"/>
    <n v="5"/>
    <x v="0"/>
    <n v="1"/>
    <n v="683"/>
    <n v="2"/>
    <x v="1"/>
    <n v="42"/>
    <n v="3"/>
    <n v="1"/>
    <x v="1"/>
    <n v="4"/>
    <x v="1"/>
    <n v="2691"/>
    <n v="7660"/>
    <n v="1"/>
    <s v="Y"/>
    <s v="No"/>
    <n v="12"/>
    <n v="3"/>
    <n v="4"/>
    <n v="80"/>
    <n v="1"/>
    <n v="10"/>
    <n v="4"/>
    <n v="2"/>
    <n v="10"/>
    <n v="9"/>
    <n v="8"/>
    <n v="8"/>
  </r>
  <r>
    <n v="45"/>
    <x v="0"/>
    <x v="0"/>
    <s v="Travel_Frequently"/>
    <n v="306"/>
    <x v="0"/>
    <n v="26"/>
    <n v="4"/>
    <x v="0"/>
    <n v="1"/>
    <n v="684"/>
    <n v="1"/>
    <x v="0"/>
    <n v="100"/>
    <n v="3"/>
    <n v="2"/>
    <x v="0"/>
    <n v="1"/>
    <x v="1"/>
    <n v="4286"/>
    <n v="5630"/>
    <n v="2"/>
    <s v="Y"/>
    <s v="No"/>
    <n v="14"/>
    <n v="3"/>
    <n v="4"/>
    <n v="80"/>
    <n v="2"/>
    <n v="5"/>
    <n v="4"/>
    <n v="3"/>
    <n v="1"/>
    <n v="1"/>
    <n v="0"/>
    <n v="0"/>
  </r>
  <r>
    <n v="26"/>
    <x v="2"/>
    <x v="1"/>
    <s v="Travel_Rarely"/>
    <n v="991"/>
    <x v="1"/>
    <n v="6"/>
    <n v="3"/>
    <x v="0"/>
    <n v="1"/>
    <n v="686"/>
    <n v="3"/>
    <x v="0"/>
    <n v="71"/>
    <n v="3"/>
    <n v="1"/>
    <x v="2"/>
    <n v="4"/>
    <x v="1"/>
    <n v="2659"/>
    <n v="17759"/>
    <n v="1"/>
    <s v="Y"/>
    <s v="Yes"/>
    <n v="13"/>
    <n v="3"/>
    <n v="3"/>
    <n v="80"/>
    <n v="1"/>
    <n v="3"/>
    <n v="2"/>
    <n v="3"/>
    <n v="3"/>
    <n v="2"/>
    <n v="0"/>
    <n v="2"/>
  </r>
  <r>
    <n v="37"/>
    <x v="0"/>
    <x v="1"/>
    <s v="Travel_Rarely"/>
    <n v="482"/>
    <x v="1"/>
    <n v="3"/>
    <n v="3"/>
    <x v="1"/>
    <n v="1"/>
    <n v="689"/>
    <n v="3"/>
    <x v="1"/>
    <n v="36"/>
    <n v="3"/>
    <n v="3"/>
    <x v="3"/>
    <n v="3"/>
    <x v="1"/>
    <n v="9434"/>
    <n v="9606"/>
    <n v="1"/>
    <s v="Y"/>
    <s v="No"/>
    <n v="15"/>
    <n v="3"/>
    <n v="3"/>
    <n v="80"/>
    <n v="1"/>
    <n v="10"/>
    <n v="2"/>
    <n v="3"/>
    <n v="10"/>
    <n v="7"/>
    <n v="7"/>
    <n v="8"/>
  </r>
  <r>
    <n v="29"/>
    <x v="2"/>
    <x v="1"/>
    <s v="Travel_Rarely"/>
    <n v="1176"/>
    <x v="0"/>
    <n v="3"/>
    <n v="2"/>
    <x v="2"/>
    <n v="1"/>
    <n v="690"/>
    <n v="2"/>
    <x v="0"/>
    <n v="62"/>
    <n v="3"/>
    <n v="2"/>
    <x v="0"/>
    <n v="3"/>
    <x v="1"/>
    <n v="5561"/>
    <n v="3487"/>
    <n v="1"/>
    <s v="Y"/>
    <s v="No"/>
    <n v="14"/>
    <n v="3"/>
    <n v="1"/>
    <n v="80"/>
    <n v="1"/>
    <n v="6"/>
    <n v="5"/>
    <n v="2"/>
    <n v="6"/>
    <n v="0"/>
    <n v="1"/>
    <n v="2"/>
  </r>
  <r>
    <n v="35"/>
    <x v="2"/>
    <x v="1"/>
    <s v="Travel_Rarely"/>
    <n v="1017"/>
    <x v="1"/>
    <n v="6"/>
    <n v="4"/>
    <x v="0"/>
    <n v="1"/>
    <n v="691"/>
    <n v="2"/>
    <x v="1"/>
    <n v="82"/>
    <n v="1"/>
    <n v="2"/>
    <x v="1"/>
    <n v="4"/>
    <x v="0"/>
    <n v="6646"/>
    <n v="19368"/>
    <n v="1"/>
    <s v="Y"/>
    <s v="No"/>
    <n v="13"/>
    <n v="3"/>
    <n v="2"/>
    <n v="80"/>
    <n v="0"/>
    <n v="17"/>
    <n v="3"/>
    <n v="3"/>
    <n v="17"/>
    <n v="11"/>
    <n v="11"/>
    <n v="8"/>
  </r>
  <r>
    <n v="33"/>
    <x v="2"/>
    <x v="1"/>
    <s v="Travel_Frequently"/>
    <n v="1296"/>
    <x v="1"/>
    <n v="6"/>
    <n v="3"/>
    <x v="0"/>
    <n v="1"/>
    <n v="692"/>
    <n v="3"/>
    <x v="1"/>
    <n v="30"/>
    <n v="3"/>
    <n v="2"/>
    <x v="4"/>
    <n v="4"/>
    <x v="2"/>
    <n v="7725"/>
    <n v="5335"/>
    <n v="3"/>
    <s v="Y"/>
    <s v="No"/>
    <n v="23"/>
    <n v="4"/>
    <n v="3"/>
    <n v="80"/>
    <n v="1"/>
    <n v="15"/>
    <n v="2"/>
    <n v="1"/>
    <n v="13"/>
    <n v="11"/>
    <n v="4"/>
    <n v="7"/>
  </r>
  <r>
    <n v="54"/>
    <x v="1"/>
    <x v="1"/>
    <s v="Travel_Rarely"/>
    <n v="397"/>
    <x v="2"/>
    <n v="19"/>
    <n v="4"/>
    <x v="2"/>
    <n v="1"/>
    <n v="698"/>
    <n v="3"/>
    <x v="1"/>
    <n v="88"/>
    <n v="3"/>
    <n v="3"/>
    <x v="8"/>
    <n v="2"/>
    <x v="1"/>
    <n v="10725"/>
    <n v="6729"/>
    <n v="2"/>
    <s v="Y"/>
    <s v="No"/>
    <n v="15"/>
    <n v="3"/>
    <n v="3"/>
    <n v="80"/>
    <n v="1"/>
    <n v="16"/>
    <n v="1"/>
    <n v="4"/>
    <n v="9"/>
    <n v="7"/>
    <n v="7"/>
    <n v="1"/>
  </r>
  <r>
    <n v="36"/>
    <x v="0"/>
    <x v="1"/>
    <s v="Travel_Rarely"/>
    <n v="913"/>
    <x v="1"/>
    <n v="9"/>
    <n v="2"/>
    <x v="2"/>
    <n v="1"/>
    <n v="699"/>
    <n v="2"/>
    <x v="1"/>
    <n v="48"/>
    <n v="2"/>
    <n v="2"/>
    <x v="3"/>
    <n v="2"/>
    <x v="2"/>
    <n v="8847"/>
    <n v="13934"/>
    <n v="2"/>
    <s v="Y"/>
    <s v="Yes"/>
    <n v="11"/>
    <n v="3"/>
    <n v="3"/>
    <n v="80"/>
    <n v="1"/>
    <n v="13"/>
    <n v="2"/>
    <n v="3"/>
    <n v="3"/>
    <n v="2"/>
    <n v="0"/>
    <n v="2"/>
  </r>
  <r>
    <n v="27"/>
    <x v="2"/>
    <x v="1"/>
    <s v="Travel_Rarely"/>
    <n v="1115"/>
    <x v="1"/>
    <n v="3"/>
    <n v="4"/>
    <x v="2"/>
    <n v="1"/>
    <n v="700"/>
    <n v="1"/>
    <x v="1"/>
    <n v="54"/>
    <n v="2"/>
    <n v="1"/>
    <x v="1"/>
    <n v="4"/>
    <x v="0"/>
    <n v="2045"/>
    <n v="15174"/>
    <n v="0"/>
    <s v="Y"/>
    <s v="No"/>
    <n v="13"/>
    <n v="3"/>
    <n v="4"/>
    <n v="80"/>
    <n v="0"/>
    <n v="5"/>
    <n v="0"/>
    <n v="3"/>
    <n v="4"/>
    <n v="2"/>
    <n v="1"/>
    <n v="1"/>
  </r>
  <r>
    <n v="20"/>
    <x v="3"/>
    <x v="0"/>
    <s v="Travel_Rarely"/>
    <n v="1362"/>
    <x v="1"/>
    <n v="10"/>
    <n v="1"/>
    <x v="2"/>
    <n v="1"/>
    <n v="701"/>
    <n v="4"/>
    <x v="1"/>
    <n v="32"/>
    <n v="3"/>
    <n v="1"/>
    <x v="1"/>
    <n v="3"/>
    <x v="0"/>
    <n v="1009"/>
    <n v="26999"/>
    <n v="1"/>
    <s v="Y"/>
    <s v="Yes"/>
    <n v="11"/>
    <n v="3"/>
    <n v="4"/>
    <n v="80"/>
    <n v="0"/>
    <n v="1"/>
    <n v="5"/>
    <n v="3"/>
    <n v="1"/>
    <n v="0"/>
    <n v="1"/>
    <n v="1"/>
  </r>
  <r>
    <n v="33"/>
    <x v="2"/>
    <x v="0"/>
    <s v="Travel_Frequently"/>
    <n v="1076"/>
    <x v="1"/>
    <n v="3"/>
    <n v="3"/>
    <x v="0"/>
    <n v="1"/>
    <n v="702"/>
    <n v="1"/>
    <x v="1"/>
    <n v="70"/>
    <n v="3"/>
    <n v="1"/>
    <x v="1"/>
    <n v="1"/>
    <x v="0"/>
    <n v="3348"/>
    <n v="3164"/>
    <n v="1"/>
    <s v="Y"/>
    <s v="Yes"/>
    <n v="11"/>
    <n v="3"/>
    <n v="1"/>
    <n v="80"/>
    <n v="0"/>
    <n v="10"/>
    <n v="3"/>
    <n v="3"/>
    <n v="10"/>
    <n v="8"/>
    <n v="9"/>
    <n v="7"/>
  </r>
  <r>
    <n v="35"/>
    <x v="2"/>
    <x v="1"/>
    <s v="Non-Travel"/>
    <n v="727"/>
    <x v="1"/>
    <n v="3"/>
    <n v="3"/>
    <x v="0"/>
    <n v="1"/>
    <n v="704"/>
    <n v="3"/>
    <x v="1"/>
    <n v="41"/>
    <n v="2"/>
    <n v="1"/>
    <x v="2"/>
    <n v="3"/>
    <x v="1"/>
    <n v="1281"/>
    <n v="16900"/>
    <n v="1"/>
    <s v="Y"/>
    <s v="No"/>
    <n v="18"/>
    <n v="3"/>
    <n v="3"/>
    <n v="80"/>
    <n v="2"/>
    <n v="1"/>
    <n v="3"/>
    <n v="3"/>
    <n v="1"/>
    <n v="0"/>
    <n v="0"/>
    <n v="0"/>
  </r>
  <r>
    <n v="23"/>
    <x v="3"/>
    <x v="1"/>
    <s v="Travel_Rarely"/>
    <n v="885"/>
    <x v="1"/>
    <n v="4"/>
    <n v="3"/>
    <x v="2"/>
    <n v="1"/>
    <n v="705"/>
    <n v="1"/>
    <x v="1"/>
    <n v="58"/>
    <n v="4"/>
    <n v="1"/>
    <x v="1"/>
    <n v="1"/>
    <x v="1"/>
    <n v="2819"/>
    <n v="8544"/>
    <n v="2"/>
    <s v="Y"/>
    <s v="No"/>
    <n v="16"/>
    <n v="3"/>
    <n v="1"/>
    <n v="80"/>
    <n v="1"/>
    <n v="5"/>
    <n v="3"/>
    <n v="4"/>
    <n v="3"/>
    <n v="2"/>
    <n v="0"/>
    <n v="2"/>
  </r>
  <r>
    <n v="25"/>
    <x v="3"/>
    <x v="1"/>
    <s v="Travel_Rarely"/>
    <n v="810"/>
    <x v="0"/>
    <n v="8"/>
    <n v="3"/>
    <x v="0"/>
    <n v="1"/>
    <n v="707"/>
    <n v="4"/>
    <x v="1"/>
    <n v="57"/>
    <n v="4"/>
    <n v="2"/>
    <x v="0"/>
    <n v="2"/>
    <x v="1"/>
    <n v="4851"/>
    <n v="15678"/>
    <n v="0"/>
    <s v="Y"/>
    <s v="No"/>
    <n v="22"/>
    <n v="4"/>
    <n v="3"/>
    <n v="80"/>
    <n v="1"/>
    <n v="4"/>
    <n v="4"/>
    <n v="3"/>
    <n v="3"/>
    <n v="2"/>
    <n v="1"/>
    <n v="2"/>
  </r>
  <r>
    <n v="38"/>
    <x v="0"/>
    <x v="1"/>
    <s v="Travel_Rarely"/>
    <n v="243"/>
    <x v="0"/>
    <n v="7"/>
    <n v="4"/>
    <x v="3"/>
    <n v="1"/>
    <n v="709"/>
    <n v="4"/>
    <x v="0"/>
    <n v="46"/>
    <n v="2"/>
    <n v="2"/>
    <x v="0"/>
    <n v="4"/>
    <x v="0"/>
    <n v="4028"/>
    <n v="7791"/>
    <n v="0"/>
    <s v="Y"/>
    <s v="No"/>
    <n v="20"/>
    <n v="4"/>
    <n v="1"/>
    <n v="80"/>
    <n v="0"/>
    <n v="8"/>
    <n v="2"/>
    <n v="3"/>
    <n v="7"/>
    <n v="7"/>
    <n v="0"/>
    <n v="5"/>
  </r>
  <r>
    <n v="29"/>
    <x v="2"/>
    <x v="1"/>
    <s v="Travel_Frequently"/>
    <n v="806"/>
    <x v="1"/>
    <n v="1"/>
    <n v="4"/>
    <x v="0"/>
    <n v="1"/>
    <n v="710"/>
    <n v="2"/>
    <x v="1"/>
    <n v="76"/>
    <n v="1"/>
    <n v="1"/>
    <x v="1"/>
    <n v="4"/>
    <x v="2"/>
    <n v="2720"/>
    <n v="18959"/>
    <n v="1"/>
    <s v="Y"/>
    <s v="No"/>
    <n v="18"/>
    <n v="3"/>
    <n v="4"/>
    <n v="80"/>
    <n v="1"/>
    <n v="10"/>
    <n v="5"/>
    <n v="3"/>
    <n v="10"/>
    <n v="7"/>
    <n v="2"/>
    <n v="8"/>
  </r>
  <r>
    <n v="48"/>
    <x v="1"/>
    <x v="1"/>
    <s v="Travel_Rarely"/>
    <n v="817"/>
    <x v="0"/>
    <n v="2"/>
    <n v="1"/>
    <x v="3"/>
    <n v="1"/>
    <n v="712"/>
    <n v="2"/>
    <x v="1"/>
    <n v="56"/>
    <n v="4"/>
    <n v="2"/>
    <x v="0"/>
    <n v="2"/>
    <x v="1"/>
    <n v="8120"/>
    <n v="18597"/>
    <n v="3"/>
    <s v="Y"/>
    <s v="No"/>
    <n v="12"/>
    <n v="3"/>
    <n v="4"/>
    <n v="80"/>
    <n v="0"/>
    <n v="12"/>
    <n v="3"/>
    <n v="3"/>
    <n v="2"/>
    <n v="2"/>
    <n v="2"/>
    <n v="2"/>
  </r>
  <r>
    <n v="27"/>
    <x v="2"/>
    <x v="1"/>
    <s v="Travel_Frequently"/>
    <n v="1410"/>
    <x v="0"/>
    <n v="3"/>
    <n v="1"/>
    <x v="2"/>
    <n v="1"/>
    <n v="714"/>
    <n v="4"/>
    <x v="0"/>
    <n v="71"/>
    <n v="4"/>
    <n v="2"/>
    <x v="0"/>
    <n v="4"/>
    <x v="2"/>
    <n v="4647"/>
    <n v="16673"/>
    <n v="1"/>
    <s v="Y"/>
    <s v="Yes"/>
    <n v="20"/>
    <n v="4"/>
    <n v="2"/>
    <n v="80"/>
    <n v="2"/>
    <n v="6"/>
    <n v="3"/>
    <n v="3"/>
    <n v="6"/>
    <n v="5"/>
    <n v="0"/>
    <n v="4"/>
  </r>
  <r>
    <n v="37"/>
    <x v="0"/>
    <x v="1"/>
    <s v="Travel_Rarely"/>
    <n v="1225"/>
    <x v="1"/>
    <n v="10"/>
    <n v="2"/>
    <x v="0"/>
    <n v="1"/>
    <n v="715"/>
    <n v="4"/>
    <x v="1"/>
    <n v="80"/>
    <n v="4"/>
    <n v="1"/>
    <x v="1"/>
    <n v="4"/>
    <x v="0"/>
    <n v="4680"/>
    <n v="15232"/>
    <n v="3"/>
    <s v="Y"/>
    <s v="No"/>
    <n v="17"/>
    <n v="3"/>
    <n v="1"/>
    <n v="80"/>
    <n v="0"/>
    <n v="4"/>
    <n v="2"/>
    <n v="3"/>
    <n v="1"/>
    <n v="0"/>
    <n v="0"/>
    <n v="0"/>
  </r>
  <r>
    <n v="50"/>
    <x v="1"/>
    <x v="1"/>
    <s v="Travel_Rarely"/>
    <n v="1207"/>
    <x v="1"/>
    <n v="28"/>
    <n v="1"/>
    <x v="2"/>
    <n v="1"/>
    <n v="716"/>
    <n v="4"/>
    <x v="1"/>
    <n v="74"/>
    <n v="4"/>
    <n v="1"/>
    <x v="2"/>
    <n v="3"/>
    <x v="1"/>
    <n v="3221"/>
    <n v="3297"/>
    <n v="1"/>
    <s v="Y"/>
    <s v="Yes"/>
    <n v="11"/>
    <n v="3"/>
    <n v="3"/>
    <n v="80"/>
    <n v="3"/>
    <n v="20"/>
    <n v="3"/>
    <n v="3"/>
    <n v="20"/>
    <n v="8"/>
    <n v="3"/>
    <n v="8"/>
  </r>
  <r>
    <n v="34"/>
    <x v="2"/>
    <x v="1"/>
    <s v="Travel_Rarely"/>
    <n v="1442"/>
    <x v="1"/>
    <n v="9"/>
    <n v="3"/>
    <x v="2"/>
    <n v="1"/>
    <n v="717"/>
    <n v="4"/>
    <x v="0"/>
    <n v="46"/>
    <n v="2"/>
    <n v="3"/>
    <x v="4"/>
    <n v="2"/>
    <x v="0"/>
    <n v="8621"/>
    <n v="17654"/>
    <n v="1"/>
    <s v="Y"/>
    <s v="No"/>
    <n v="14"/>
    <n v="3"/>
    <n v="2"/>
    <n v="80"/>
    <n v="0"/>
    <n v="9"/>
    <n v="3"/>
    <n v="4"/>
    <n v="8"/>
    <n v="7"/>
    <n v="7"/>
    <n v="7"/>
  </r>
  <r>
    <n v="24"/>
    <x v="3"/>
    <x v="0"/>
    <s v="Travel_Rarely"/>
    <n v="693"/>
    <x v="0"/>
    <n v="3"/>
    <n v="2"/>
    <x v="0"/>
    <n v="1"/>
    <n v="720"/>
    <n v="1"/>
    <x v="0"/>
    <n v="65"/>
    <n v="3"/>
    <n v="2"/>
    <x v="0"/>
    <n v="3"/>
    <x v="0"/>
    <n v="4577"/>
    <n v="24785"/>
    <n v="9"/>
    <s v="Y"/>
    <s v="No"/>
    <n v="14"/>
    <n v="3"/>
    <n v="1"/>
    <n v="80"/>
    <n v="0"/>
    <n v="4"/>
    <n v="3"/>
    <n v="3"/>
    <n v="2"/>
    <n v="2"/>
    <n v="2"/>
    <n v="0"/>
  </r>
  <r>
    <n v="39"/>
    <x v="0"/>
    <x v="1"/>
    <s v="Travel_Rarely"/>
    <n v="408"/>
    <x v="1"/>
    <n v="2"/>
    <n v="4"/>
    <x v="4"/>
    <n v="1"/>
    <n v="721"/>
    <n v="4"/>
    <x v="0"/>
    <n v="80"/>
    <n v="2"/>
    <n v="2"/>
    <x v="4"/>
    <n v="3"/>
    <x v="0"/>
    <n v="4553"/>
    <n v="20978"/>
    <n v="1"/>
    <s v="Y"/>
    <s v="No"/>
    <n v="11"/>
    <n v="3"/>
    <n v="1"/>
    <n v="80"/>
    <n v="0"/>
    <n v="20"/>
    <n v="4"/>
    <n v="3"/>
    <n v="20"/>
    <n v="7"/>
    <n v="11"/>
    <n v="10"/>
  </r>
  <r>
    <n v="32"/>
    <x v="2"/>
    <x v="1"/>
    <s v="Travel_Rarely"/>
    <n v="929"/>
    <x v="0"/>
    <n v="10"/>
    <n v="3"/>
    <x v="3"/>
    <n v="1"/>
    <n v="722"/>
    <n v="4"/>
    <x v="1"/>
    <n v="55"/>
    <n v="3"/>
    <n v="2"/>
    <x v="0"/>
    <n v="4"/>
    <x v="0"/>
    <n v="5396"/>
    <n v="21703"/>
    <n v="1"/>
    <s v="Y"/>
    <s v="No"/>
    <n v="12"/>
    <n v="3"/>
    <n v="4"/>
    <n v="80"/>
    <n v="0"/>
    <n v="10"/>
    <n v="2"/>
    <n v="2"/>
    <n v="10"/>
    <n v="7"/>
    <n v="0"/>
    <n v="8"/>
  </r>
  <r>
    <n v="50"/>
    <x v="1"/>
    <x v="0"/>
    <s v="Travel_Frequently"/>
    <n v="562"/>
    <x v="0"/>
    <n v="8"/>
    <n v="2"/>
    <x v="4"/>
    <n v="1"/>
    <n v="723"/>
    <n v="2"/>
    <x v="1"/>
    <n v="50"/>
    <n v="3"/>
    <n v="2"/>
    <x v="0"/>
    <n v="3"/>
    <x v="1"/>
    <n v="6796"/>
    <n v="23452"/>
    <n v="3"/>
    <s v="Y"/>
    <s v="Yes"/>
    <n v="14"/>
    <n v="3"/>
    <n v="1"/>
    <n v="80"/>
    <n v="1"/>
    <n v="18"/>
    <n v="4"/>
    <n v="3"/>
    <n v="4"/>
    <n v="3"/>
    <n v="1"/>
    <n v="3"/>
  </r>
  <r>
    <n v="38"/>
    <x v="0"/>
    <x v="1"/>
    <s v="Travel_Rarely"/>
    <n v="827"/>
    <x v="1"/>
    <n v="1"/>
    <n v="4"/>
    <x v="0"/>
    <n v="1"/>
    <n v="724"/>
    <n v="2"/>
    <x v="0"/>
    <n v="33"/>
    <n v="4"/>
    <n v="2"/>
    <x v="4"/>
    <n v="4"/>
    <x v="0"/>
    <n v="7625"/>
    <n v="19383"/>
    <n v="0"/>
    <s v="Y"/>
    <s v="No"/>
    <n v="13"/>
    <n v="3"/>
    <n v="3"/>
    <n v="80"/>
    <n v="0"/>
    <n v="10"/>
    <n v="4"/>
    <n v="2"/>
    <n v="9"/>
    <n v="7"/>
    <n v="1"/>
    <n v="8"/>
  </r>
  <r>
    <n v="27"/>
    <x v="2"/>
    <x v="1"/>
    <s v="Travel_Rarely"/>
    <n v="608"/>
    <x v="1"/>
    <n v="1"/>
    <n v="2"/>
    <x v="0"/>
    <n v="1"/>
    <n v="725"/>
    <n v="3"/>
    <x v="0"/>
    <n v="68"/>
    <n v="3"/>
    <n v="3"/>
    <x v="3"/>
    <n v="1"/>
    <x v="1"/>
    <n v="7412"/>
    <n v="6009"/>
    <n v="1"/>
    <s v="Y"/>
    <s v="No"/>
    <n v="11"/>
    <n v="3"/>
    <n v="4"/>
    <n v="80"/>
    <n v="0"/>
    <n v="9"/>
    <n v="3"/>
    <n v="3"/>
    <n v="9"/>
    <n v="7"/>
    <n v="0"/>
    <n v="7"/>
  </r>
  <r>
    <n v="32"/>
    <x v="2"/>
    <x v="1"/>
    <s v="Travel_Rarely"/>
    <n v="1018"/>
    <x v="1"/>
    <n v="3"/>
    <n v="2"/>
    <x v="0"/>
    <n v="1"/>
    <n v="727"/>
    <n v="3"/>
    <x v="0"/>
    <n v="39"/>
    <n v="3"/>
    <n v="3"/>
    <x v="7"/>
    <n v="4"/>
    <x v="0"/>
    <n v="11159"/>
    <n v="19373"/>
    <n v="3"/>
    <s v="Y"/>
    <s v="No"/>
    <n v="15"/>
    <n v="3"/>
    <n v="4"/>
    <n v="80"/>
    <n v="0"/>
    <n v="10"/>
    <n v="6"/>
    <n v="3"/>
    <n v="7"/>
    <n v="7"/>
    <n v="7"/>
    <n v="7"/>
  </r>
  <r>
    <n v="47"/>
    <x v="1"/>
    <x v="1"/>
    <s v="Travel_Rarely"/>
    <n v="703"/>
    <x v="0"/>
    <n v="14"/>
    <n v="4"/>
    <x v="3"/>
    <n v="1"/>
    <n v="728"/>
    <n v="4"/>
    <x v="1"/>
    <n v="42"/>
    <n v="3"/>
    <n v="2"/>
    <x v="0"/>
    <n v="1"/>
    <x v="0"/>
    <n v="4960"/>
    <n v="11825"/>
    <n v="2"/>
    <s v="Y"/>
    <s v="No"/>
    <n v="12"/>
    <n v="3"/>
    <n v="4"/>
    <n v="80"/>
    <n v="0"/>
    <n v="20"/>
    <n v="2"/>
    <n v="3"/>
    <n v="7"/>
    <n v="7"/>
    <n v="1"/>
    <n v="7"/>
  </r>
  <r>
    <n v="40"/>
    <x v="0"/>
    <x v="1"/>
    <s v="Travel_Frequently"/>
    <n v="580"/>
    <x v="0"/>
    <n v="5"/>
    <n v="4"/>
    <x v="0"/>
    <n v="1"/>
    <n v="729"/>
    <n v="4"/>
    <x v="1"/>
    <n v="48"/>
    <n v="2"/>
    <n v="3"/>
    <x v="0"/>
    <n v="1"/>
    <x v="1"/>
    <n v="10475"/>
    <n v="23772"/>
    <n v="5"/>
    <s v="Y"/>
    <s v="Yes"/>
    <n v="21"/>
    <n v="4"/>
    <n v="3"/>
    <n v="80"/>
    <n v="1"/>
    <n v="20"/>
    <n v="2"/>
    <n v="3"/>
    <n v="18"/>
    <n v="13"/>
    <n v="1"/>
    <n v="12"/>
  </r>
  <r>
    <n v="53"/>
    <x v="1"/>
    <x v="1"/>
    <s v="Travel_Rarely"/>
    <n v="970"/>
    <x v="1"/>
    <n v="7"/>
    <n v="3"/>
    <x v="0"/>
    <n v="1"/>
    <n v="730"/>
    <n v="3"/>
    <x v="1"/>
    <n v="59"/>
    <n v="4"/>
    <n v="4"/>
    <x v="7"/>
    <n v="3"/>
    <x v="1"/>
    <n v="14814"/>
    <n v="13514"/>
    <n v="3"/>
    <s v="Y"/>
    <s v="No"/>
    <n v="19"/>
    <n v="3"/>
    <n v="3"/>
    <n v="80"/>
    <n v="0"/>
    <n v="32"/>
    <n v="3"/>
    <n v="3"/>
    <n v="5"/>
    <n v="1"/>
    <n v="1"/>
    <n v="3"/>
  </r>
  <r>
    <n v="41"/>
    <x v="0"/>
    <x v="1"/>
    <s v="Travel_Rarely"/>
    <n v="427"/>
    <x v="2"/>
    <n v="10"/>
    <n v="4"/>
    <x v="5"/>
    <n v="1"/>
    <n v="731"/>
    <n v="2"/>
    <x v="1"/>
    <n v="73"/>
    <n v="2"/>
    <n v="5"/>
    <x v="5"/>
    <n v="4"/>
    <x v="2"/>
    <n v="19141"/>
    <n v="8861"/>
    <n v="3"/>
    <s v="Y"/>
    <s v="No"/>
    <n v="15"/>
    <n v="3"/>
    <n v="2"/>
    <n v="80"/>
    <n v="3"/>
    <n v="23"/>
    <n v="2"/>
    <n v="2"/>
    <n v="21"/>
    <n v="6"/>
    <n v="12"/>
    <n v="6"/>
  </r>
  <r>
    <n v="60"/>
    <x v="1"/>
    <x v="1"/>
    <s v="Travel_Rarely"/>
    <n v="1179"/>
    <x v="0"/>
    <n v="16"/>
    <n v="4"/>
    <x v="3"/>
    <n v="1"/>
    <n v="732"/>
    <n v="1"/>
    <x v="1"/>
    <n v="84"/>
    <n v="3"/>
    <n v="2"/>
    <x v="0"/>
    <n v="1"/>
    <x v="0"/>
    <n v="5405"/>
    <n v="11924"/>
    <n v="8"/>
    <s v="Y"/>
    <s v="No"/>
    <n v="14"/>
    <n v="3"/>
    <n v="4"/>
    <n v="80"/>
    <n v="0"/>
    <n v="10"/>
    <n v="1"/>
    <n v="3"/>
    <n v="2"/>
    <n v="2"/>
    <n v="2"/>
    <n v="2"/>
  </r>
  <r>
    <n v="27"/>
    <x v="2"/>
    <x v="1"/>
    <s v="Travel_Frequently"/>
    <n v="294"/>
    <x v="1"/>
    <n v="10"/>
    <n v="2"/>
    <x v="0"/>
    <n v="1"/>
    <n v="733"/>
    <n v="4"/>
    <x v="1"/>
    <n v="32"/>
    <n v="3"/>
    <n v="3"/>
    <x v="3"/>
    <n v="1"/>
    <x v="2"/>
    <n v="8793"/>
    <n v="4809"/>
    <n v="1"/>
    <s v="Y"/>
    <s v="No"/>
    <n v="21"/>
    <n v="4"/>
    <n v="3"/>
    <n v="80"/>
    <n v="2"/>
    <n v="9"/>
    <n v="4"/>
    <n v="2"/>
    <n v="9"/>
    <n v="7"/>
    <n v="1"/>
    <n v="7"/>
  </r>
  <r>
    <n v="41"/>
    <x v="0"/>
    <x v="1"/>
    <s v="Travel_Rarely"/>
    <n v="314"/>
    <x v="2"/>
    <n v="1"/>
    <n v="3"/>
    <x v="5"/>
    <n v="1"/>
    <n v="734"/>
    <n v="4"/>
    <x v="1"/>
    <n v="59"/>
    <n v="2"/>
    <n v="5"/>
    <x v="5"/>
    <n v="3"/>
    <x v="1"/>
    <n v="19189"/>
    <n v="19562"/>
    <n v="1"/>
    <s v="Y"/>
    <s v="No"/>
    <n v="12"/>
    <n v="3"/>
    <n v="2"/>
    <n v="80"/>
    <n v="1"/>
    <n v="22"/>
    <n v="3"/>
    <n v="3"/>
    <n v="22"/>
    <n v="7"/>
    <n v="2"/>
    <n v="10"/>
  </r>
  <r>
    <n v="50"/>
    <x v="1"/>
    <x v="1"/>
    <s v="Travel_Rarely"/>
    <n v="316"/>
    <x v="0"/>
    <n v="8"/>
    <n v="4"/>
    <x v="3"/>
    <n v="1"/>
    <n v="738"/>
    <n v="4"/>
    <x v="1"/>
    <n v="54"/>
    <n v="3"/>
    <n v="1"/>
    <x v="6"/>
    <n v="2"/>
    <x v="1"/>
    <n v="3875"/>
    <n v="9983"/>
    <n v="7"/>
    <s v="Y"/>
    <s v="No"/>
    <n v="15"/>
    <n v="3"/>
    <n v="4"/>
    <n v="80"/>
    <n v="1"/>
    <n v="4"/>
    <n v="2"/>
    <n v="3"/>
    <n v="2"/>
    <n v="2"/>
    <n v="2"/>
    <n v="2"/>
  </r>
  <r>
    <n v="28"/>
    <x v="2"/>
    <x v="0"/>
    <s v="Travel_Rarely"/>
    <n v="654"/>
    <x v="1"/>
    <n v="1"/>
    <n v="2"/>
    <x v="0"/>
    <n v="1"/>
    <n v="741"/>
    <n v="1"/>
    <x v="0"/>
    <n v="67"/>
    <n v="1"/>
    <n v="1"/>
    <x v="1"/>
    <n v="2"/>
    <x v="0"/>
    <n v="2216"/>
    <n v="3872"/>
    <n v="7"/>
    <s v="Y"/>
    <s v="Yes"/>
    <n v="13"/>
    <n v="3"/>
    <n v="4"/>
    <n v="80"/>
    <n v="0"/>
    <n v="10"/>
    <n v="4"/>
    <n v="3"/>
    <n v="7"/>
    <n v="7"/>
    <n v="3"/>
    <n v="7"/>
  </r>
  <r>
    <n v="36"/>
    <x v="0"/>
    <x v="1"/>
    <s v="Non-Travel"/>
    <n v="427"/>
    <x v="1"/>
    <n v="8"/>
    <n v="3"/>
    <x v="0"/>
    <n v="1"/>
    <n v="742"/>
    <n v="1"/>
    <x v="0"/>
    <n v="63"/>
    <n v="4"/>
    <n v="3"/>
    <x v="7"/>
    <n v="1"/>
    <x v="1"/>
    <n v="11713"/>
    <n v="20335"/>
    <n v="9"/>
    <s v="Y"/>
    <s v="No"/>
    <n v="14"/>
    <n v="3"/>
    <n v="1"/>
    <n v="80"/>
    <n v="1"/>
    <n v="10"/>
    <n v="2"/>
    <n v="3"/>
    <n v="8"/>
    <n v="7"/>
    <n v="0"/>
    <n v="5"/>
  </r>
  <r>
    <n v="38"/>
    <x v="0"/>
    <x v="1"/>
    <s v="Travel_Rarely"/>
    <n v="168"/>
    <x v="1"/>
    <n v="1"/>
    <n v="3"/>
    <x v="0"/>
    <n v="1"/>
    <n v="743"/>
    <n v="3"/>
    <x v="0"/>
    <n v="81"/>
    <n v="3"/>
    <n v="3"/>
    <x v="3"/>
    <n v="3"/>
    <x v="0"/>
    <n v="7861"/>
    <n v="15397"/>
    <n v="4"/>
    <s v="Y"/>
    <s v="Yes"/>
    <n v="14"/>
    <n v="3"/>
    <n v="4"/>
    <n v="80"/>
    <n v="0"/>
    <n v="10"/>
    <n v="4"/>
    <n v="4"/>
    <n v="1"/>
    <n v="0"/>
    <n v="0"/>
    <n v="0"/>
  </r>
  <r>
    <n v="44"/>
    <x v="0"/>
    <x v="1"/>
    <s v="Non-Travel"/>
    <n v="381"/>
    <x v="1"/>
    <n v="24"/>
    <n v="3"/>
    <x v="2"/>
    <n v="1"/>
    <n v="744"/>
    <n v="1"/>
    <x v="1"/>
    <n v="49"/>
    <n v="1"/>
    <n v="1"/>
    <x v="2"/>
    <n v="3"/>
    <x v="0"/>
    <n v="3708"/>
    <n v="2104"/>
    <n v="2"/>
    <s v="Y"/>
    <s v="No"/>
    <n v="14"/>
    <n v="3"/>
    <n v="3"/>
    <n v="80"/>
    <n v="0"/>
    <n v="9"/>
    <n v="5"/>
    <n v="3"/>
    <n v="5"/>
    <n v="2"/>
    <n v="1"/>
    <n v="4"/>
  </r>
  <r>
    <n v="47"/>
    <x v="1"/>
    <x v="1"/>
    <s v="Travel_Frequently"/>
    <n v="217"/>
    <x v="0"/>
    <n v="3"/>
    <n v="3"/>
    <x v="2"/>
    <n v="1"/>
    <n v="746"/>
    <n v="4"/>
    <x v="0"/>
    <n v="49"/>
    <n v="3"/>
    <n v="4"/>
    <x v="0"/>
    <n v="3"/>
    <x v="2"/>
    <n v="13770"/>
    <n v="10225"/>
    <n v="9"/>
    <s v="Y"/>
    <s v="Yes"/>
    <n v="12"/>
    <n v="3"/>
    <n v="4"/>
    <n v="80"/>
    <n v="2"/>
    <n v="28"/>
    <n v="2"/>
    <n v="2"/>
    <n v="22"/>
    <n v="2"/>
    <n v="11"/>
    <n v="13"/>
  </r>
  <r>
    <n v="30"/>
    <x v="2"/>
    <x v="1"/>
    <s v="Travel_Rarely"/>
    <n v="501"/>
    <x v="0"/>
    <n v="27"/>
    <n v="5"/>
    <x v="3"/>
    <n v="1"/>
    <n v="747"/>
    <n v="3"/>
    <x v="1"/>
    <n v="99"/>
    <n v="3"/>
    <n v="2"/>
    <x v="0"/>
    <n v="4"/>
    <x v="2"/>
    <n v="5304"/>
    <n v="25275"/>
    <n v="7"/>
    <s v="Y"/>
    <s v="No"/>
    <n v="23"/>
    <n v="4"/>
    <n v="4"/>
    <n v="80"/>
    <n v="1"/>
    <n v="10"/>
    <n v="2"/>
    <n v="2"/>
    <n v="8"/>
    <n v="7"/>
    <n v="7"/>
    <n v="7"/>
  </r>
  <r>
    <n v="29"/>
    <x v="2"/>
    <x v="1"/>
    <s v="Travel_Rarely"/>
    <n v="1396"/>
    <x v="0"/>
    <n v="10"/>
    <n v="3"/>
    <x v="0"/>
    <n v="1"/>
    <n v="749"/>
    <n v="3"/>
    <x v="1"/>
    <n v="99"/>
    <n v="3"/>
    <n v="1"/>
    <x v="6"/>
    <n v="3"/>
    <x v="0"/>
    <n v="2642"/>
    <n v="2755"/>
    <n v="1"/>
    <s v="Y"/>
    <s v="No"/>
    <n v="11"/>
    <n v="3"/>
    <n v="3"/>
    <n v="80"/>
    <n v="0"/>
    <n v="1"/>
    <n v="6"/>
    <n v="3"/>
    <n v="1"/>
    <n v="0"/>
    <n v="0"/>
    <n v="0"/>
  </r>
  <r>
    <n v="42"/>
    <x v="0"/>
    <x v="0"/>
    <s v="Travel_Frequently"/>
    <n v="933"/>
    <x v="1"/>
    <n v="19"/>
    <n v="3"/>
    <x v="2"/>
    <n v="1"/>
    <n v="752"/>
    <n v="3"/>
    <x v="1"/>
    <n v="57"/>
    <n v="4"/>
    <n v="1"/>
    <x v="1"/>
    <n v="3"/>
    <x v="2"/>
    <n v="2759"/>
    <n v="20366"/>
    <n v="6"/>
    <s v="Y"/>
    <s v="Yes"/>
    <n v="12"/>
    <n v="3"/>
    <n v="4"/>
    <n v="80"/>
    <n v="0"/>
    <n v="7"/>
    <n v="2"/>
    <n v="3"/>
    <n v="2"/>
    <n v="2"/>
    <n v="2"/>
    <n v="2"/>
  </r>
  <r>
    <n v="43"/>
    <x v="0"/>
    <x v="1"/>
    <s v="Travel_Frequently"/>
    <n v="775"/>
    <x v="0"/>
    <n v="15"/>
    <n v="3"/>
    <x v="0"/>
    <n v="1"/>
    <n v="754"/>
    <n v="4"/>
    <x v="1"/>
    <n v="47"/>
    <n v="2"/>
    <n v="2"/>
    <x v="0"/>
    <n v="4"/>
    <x v="1"/>
    <n v="6804"/>
    <n v="23683"/>
    <n v="3"/>
    <s v="Y"/>
    <s v="No"/>
    <n v="18"/>
    <n v="3"/>
    <n v="3"/>
    <n v="80"/>
    <n v="1"/>
    <n v="7"/>
    <n v="5"/>
    <n v="3"/>
    <n v="2"/>
    <n v="2"/>
    <n v="2"/>
    <n v="2"/>
  </r>
  <r>
    <n v="34"/>
    <x v="2"/>
    <x v="1"/>
    <s v="Travel_Rarely"/>
    <n v="970"/>
    <x v="1"/>
    <n v="8"/>
    <n v="2"/>
    <x v="2"/>
    <n v="1"/>
    <n v="757"/>
    <n v="2"/>
    <x v="0"/>
    <n v="96"/>
    <n v="3"/>
    <n v="2"/>
    <x v="4"/>
    <n v="3"/>
    <x v="0"/>
    <n v="6142"/>
    <n v="7360"/>
    <n v="3"/>
    <s v="Y"/>
    <s v="No"/>
    <n v="11"/>
    <n v="3"/>
    <n v="4"/>
    <n v="80"/>
    <n v="0"/>
    <n v="10"/>
    <n v="2"/>
    <n v="3"/>
    <n v="5"/>
    <n v="1"/>
    <n v="4"/>
    <n v="3"/>
  </r>
  <r>
    <n v="23"/>
    <x v="3"/>
    <x v="1"/>
    <s v="Travel_Rarely"/>
    <n v="650"/>
    <x v="1"/>
    <n v="9"/>
    <n v="1"/>
    <x v="2"/>
    <n v="1"/>
    <n v="758"/>
    <n v="2"/>
    <x v="1"/>
    <n v="37"/>
    <n v="3"/>
    <n v="1"/>
    <x v="2"/>
    <n v="1"/>
    <x v="1"/>
    <n v="2500"/>
    <n v="4344"/>
    <n v="1"/>
    <s v="Y"/>
    <s v="No"/>
    <n v="14"/>
    <n v="3"/>
    <n v="4"/>
    <n v="80"/>
    <n v="1"/>
    <n v="5"/>
    <n v="2"/>
    <n v="4"/>
    <n v="4"/>
    <n v="3"/>
    <n v="0"/>
    <n v="2"/>
  </r>
  <r>
    <n v="39"/>
    <x v="0"/>
    <x v="1"/>
    <s v="Travel_Rarely"/>
    <n v="141"/>
    <x v="2"/>
    <n v="3"/>
    <n v="3"/>
    <x v="5"/>
    <n v="1"/>
    <n v="760"/>
    <n v="3"/>
    <x v="0"/>
    <n v="44"/>
    <n v="4"/>
    <n v="2"/>
    <x v="8"/>
    <n v="2"/>
    <x v="1"/>
    <n v="6389"/>
    <n v="18767"/>
    <n v="9"/>
    <s v="Y"/>
    <s v="No"/>
    <n v="15"/>
    <n v="3"/>
    <n v="3"/>
    <n v="80"/>
    <n v="1"/>
    <n v="12"/>
    <n v="3"/>
    <n v="1"/>
    <n v="8"/>
    <n v="3"/>
    <n v="3"/>
    <n v="6"/>
  </r>
  <r>
    <n v="56"/>
    <x v="1"/>
    <x v="1"/>
    <s v="Travel_Rarely"/>
    <n v="832"/>
    <x v="1"/>
    <n v="9"/>
    <n v="3"/>
    <x v="2"/>
    <n v="1"/>
    <n v="762"/>
    <n v="3"/>
    <x v="1"/>
    <n v="81"/>
    <n v="3"/>
    <n v="4"/>
    <x v="4"/>
    <n v="4"/>
    <x v="1"/>
    <n v="11103"/>
    <n v="20420"/>
    <n v="7"/>
    <s v="Y"/>
    <s v="No"/>
    <n v="11"/>
    <n v="3"/>
    <n v="3"/>
    <n v="80"/>
    <n v="0"/>
    <n v="30"/>
    <n v="1"/>
    <n v="2"/>
    <n v="10"/>
    <n v="7"/>
    <n v="1"/>
    <n v="1"/>
  </r>
  <r>
    <n v="40"/>
    <x v="0"/>
    <x v="1"/>
    <s v="Travel_Rarely"/>
    <n v="804"/>
    <x v="1"/>
    <n v="2"/>
    <n v="1"/>
    <x v="2"/>
    <n v="1"/>
    <n v="763"/>
    <n v="4"/>
    <x v="0"/>
    <n v="86"/>
    <n v="2"/>
    <n v="1"/>
    <x v="1"/>
    <n v="4"/>
    <x v="0"/>
    <n v="2342"/>
    <n v="22929"/>
    <n v="0"/>
    <s v="Y"/>
    <s v="Yes"/>
    <n v="20"/>
    <n v="4"/>
    <n v="4"/>
    <n v="80"/>
    <n v="0"/>
    <n v="5"/>
    <n v="2"/>
    <n v="2"/>
    <n v="4"/>
    <n v="2"/>
    <n v="2"/>
    <n v="3"/>
  </r>
  <r>
    <n v="27"/>
    <x v="2"/>
    <x v="1"/>
    <s v="Travel_Rarely"/>
    <n v="975"/>
    <x v="1"/>
    <n v="7"/>
    <n v="3"/>
    <x v="2"/>
    <n v="1"/>
    <n v="764"/>
    <n v="4"/>
    <x v="0"/>
    <n v="55"/>
    <n v="2"/>
    <n v="2"/>
    <x v="4"/>
    <n v="1"/>
    <x v="0"/>
    <n v="6811"/>
    <n v="23398"/>
    <n v="8"/>
    <s v="Y"/>
    <s v="No"/>
    <n v="19"/>
    <n v="3"/>
    <n v="1"/>
    <n v="80"/>
    <n v="0"/>
    <n v="9"/>
    <n v="2"/>
    <n v="1"/>
    <n v="7"/>
    <n v="6"/>
    <n v="0"/>
    <n v="7"/>
  </r>
  <r>
    <n v="29"/>
    <x v="2"/>
    <x v="1"/>
    <s v="Travel_Rarely"/>
    <n v="1090"/>
    <x v="0"/>
    <n v="10"/>
    <n v="3"/>
    <x v="3"/>
    <n v="1"/>
    <n v="766"/>
    <n v="4"/>
    <x v="1"/>
    <n v="83"/>
    <n v="3"/>
    <n v="1"/>
    <x v="6"/>
    <n v="2"/>
    <x v="2"/>
    <n v="2297"/>
    <n v="17967"/>
    <n v="1"/>
    <s v="Y"/>
    <s v="No"/>
    <n v="14"/>
    <n v="3"/>
    <n v="4"/>
    <n v="80"/>
    <n v="2"/>
    <n v="2"/>
    <n v="2"/>
    <n v="3"/>
    <n v="2"/>
    <n v="2"/>
    <n v="2"/>
    <n v="2"/>
  </r>
  <r>
    <n v="53"/>
    <x v="1"/>
    <x v="1"/>
    <s v="Travel_Rarely"/>
    <n v="346"/>
    <x v="1"/>
    <n v="6"/>
    <n v="3"/>
    <x v="0"/>
    <n v="1"/>
    <n v="769"/>
    <n v="4"/>
    <x v="1"/>
    <n v="86"/>
    <n v="3"/>
    <n v="2"/>
    <x v="2"/>
    <n v="4"/>
    <x v="0"/>
    <n v="2450"/>
    <n v="10919"/>
    <n v="2"/>
    <s v="Y"/>
    <s v="No"/>
    <n v="17"/>
    <n v="3"/>
    <n v="4"/>
    <n v="80"/>
    <n v="0"/>
    <n v="19"/>
    <n v="4"/>
    <n v="3"/>
    <n v="2"/>
    <n v="2"/>
    <n v="2"/>
    <n v="2"/>
  </r>
  <r>
    <n v="35"/>
    <x v="2"/>
    <x v="1"/>
    <s v="Non-Travel"/>
    <n v="1225"/>
    <x v="1"/>
    <n v="2"/>
    <n v="4"/>
    <x v="0"/>
    <n v="1"/>
    <n v="771"/>
    <n v="4"/>
    <x v="0"/>
    <n v="61"/>
    <n v="3"/>
    <n v="2"/>
    <x v="4"/>
    <n v="1"/>
    <x v="2"/>
    <n v="5093"/>
    <n v="4761"/>
    <n v="2"/>
    <s v="Y"/>
    <s v="No"/>
    <n v="11"/>
    <n v="3"/>
    <n v="1"/>
    <n v="80"/>
    <n v="1"/>
    <n v="16"/>
    <n v="2"/>
    <n v="4"/>
    <n v="1"/>
    <n v="0"/>
    <n v="0"/>
    <n v="0"/>
  </r>
  <r>
    <n v="32"/>
    <x v="2"/>
    <x v="1"/>
    <s v="Travel_Frequently"/>
    <n v="430"/>
    <x v="1"/>
    <n v="24"/>
    <n v="4"/>
    <x v="0"/>
    <n v="1"/>
    <n v="772"/>
    <n v="1"/>
    <x v="1"/>
    <n v="80"/>
    <n v="3"/>
    <n v="2"/>
    <x v="2"/>
    <n v="4"/>
    <x v="1"/>
    <n v="5309"/>
    <n v="21146"/>
    <n v="1"/>
    <s v="Y"/>
    <s v="No"/>
    <n v="15"/>
    <n v="3"/>
    <n v="4"/>
    <n v="80"/>
    <n v="2"/>
    <n v="10"/>
    <n v="2"/>
    <n v="3"/>
    <n v="10"/>
    <n v="8"/>
    <n v="4"/>
    <n v="7"/>
  </r>
  <r>
    <n v="38"/>
    <x v="0"/>
    <x v="1"/>
    <s v="Travel_Rarely"/>
    <n v="268"/>
    <x v="1"/>
    <n v="2"/>
    <n v="5"/>
    <x v="2"/>
    <n v="1"/>
    <n v="773"/>
    <n v="4"/>
    <x v="1"/>
    <n v="92"/>
    <n v="3"/>
    <n v="1"/>
    <x v="1"/>
    <n v="3"/>
    <x v="1"/>
    <n v="3057"/>
    <n v="20471"/>
    <n v="6"/>
    <s v="Y"/>
    <s v="Yes"/>
    <n v="13"/>
    <n v="3"/>
    <n v="2"/>
    <n v="80"/>
    <n v="1"/>
    <n v="6"/>
    <n v="0"/>
    <n v="1"/>
    <n v="1"/>
    <n v="0"/>
    <n v="0"/>
    <n v="1"/>
  </r>
  <r>
    <n v="34"/>
    <x v="2"/>
    <x v="1"/>
    <s v="Travel_Rarely"/>
    <n v="167"/>
    <x v="1"/>
    <n v="8"/>
    <n v="5"/>
    <x v="0"/>
    <n v="1"/>
    <n v="775"/>
    <n v="2"/>
    <x v="0"/>
    <n v="32"/>
    <n v="3"/>
    <n v="2"/>
    <x v="3"/>
    <n v="1"/>
    <x v="2"/>
    <n v="5121"/>
    <n v="4187"/>
    <n v="3"/>
    <s v="Y"/>
    <s v="No"/>
    <n v="14"/>
    <n v="3"/>
    <n v="3"/>
    <n v="80"/>
    <n v="1"/>
    <n v="7"/>
    <n v="3"/>
    <n v="3"/>
    <n v="0"/>
    <n v="0"/>
    <n v="0"/>
    <n v="0"/>
  </r>
  <r>
    <n v="52"/>
    <x v="1"/>
    <x v="1"/>
    <s v="Travel_Rarely"/>
    <n v="621"/>
    <x v="0"/>
    <n v="3"/>
    <n v="4"/>
    <x v="3"/>
    <n v="1"/>
    <n v="776"/>
    <n v="3"/>
    <x v="1"/>
    <n v="31"/>
    <n v="2"/>
    <n v="4"/>
    <x v="5"/>
    <n v="1"/>
    <x v="1"/>
    <n v="16856"/>
    <n v="10084"/>
    <n v="1"/>
    <s v="Y"/>
    <s v="No"/>
    <n v="11"/>
    <n v="3"/>
    <n v="1"/>
    <n v="80"/>
    <n v="0"/>
    <n v="34"/>
    <n v="3"/>
    <n v="4"/>
    <n v="34"/>
    <n v="6"/>
    <n v="1"/>
    <n v="16"/>
  </r>
  <r>
    <n v="33"/>
    <x v="2"/>
    <x v="0"/>
    <s v="Travel_Rarely"/>
    <n v="527"/>
    <x v="1"/>
    <n v="1"/>
    <n v="4"/>
    <x v="1"/>
    <n v="1"/>
    <n v="780"/>
    <n v="4"/>
    <x v="1"/>
    <n v="63"/>
    <n v="3"/>
    <n v="1"/>
    <x v="1"/>
    <n v="4"/>
    <x v="0"/>
    <n v="2686"/>
    <n v="5207"/>
    <n v="1"/>
    <s v="Y"/>
    <s v="Yes"/>
    <n v="13"/>
    <n v="3"/>
    <n v="3"/>
    <n v="80"/>
    <n v="0"/>
    <n v="10"/>
    <n v="2"/>
    <n v="2"/>
    <n v="10"/>
    <n v="9"/>
    <n v="7"/>
    <n v="8"/>
  </r>
  <r>
    <n v="25"/>
    <x v="3"/>
    <x v="1"/>
    <s v="Travel_Rarely"/>
    <n v="883"/>
    <x v="0"/>
    <n v="26"/>
    <n v="1"/>
    <x v="2"/>
    <n v="1"/>
    <n v="781"/>
    <n v="3"/>
    <x v="0"/>
    <n v="32"/>
    <n v="3"/>
    <n v="2"/>
    <x v="0"/>
    <n v="4"/>
    <x v="0"/>
    <n v="6180"/>
    <n v="22807"/>
    <n v="1"/>
    <s v="Y"/>
    <s v="No"/>
    <n v="23"/>
    <n v="4"/>
    <n v="2"/>
    <n v="80"/>
    <n v="0"/>
    <n v="6"/>
    <n v="5"/>
    <n v="2"/>
    <n v="6"/>
    <n v="5"/>
    <n v="1"/>
    <n v="4"/>
  </r>
  <r>
    <n v="45"/>
    <x v="0"/>
    <x v="1"/>
    <s v="Travel_Rarely"/>
    <n v="954"/>
    <x v="0"/>
    <n v="2"/>
    <n v="2"/>
    <x v="4"/>
    <n v="1"/>
    <n v="783"/>
    <n v="2"/>
    <x v="1"/>
    <n v="46"/>
    <n v="1"/>
    <n v="2"/>
    <x v="6"/>
    <n v="3"/>
    <x v="0"/>
    <n v="6632"/>
    <n v="12388"/>
    <n v="0"/>
    <s v="Y"/>
    <s v="No"/>
    <n v="13"/>
    <n v="3"/>
    <n v="1"/>
    <n v="80"/>
    <n v="0"/>
    <n v="9"/>
    <n v="3"/>
    <n v="3"/>
    <n v="8"/>
    <n v="7"/>
    <n v="3"/>
    <n v="1"/>
  </r>
  <r>
    <n v="23"/>
    <x v="3"/>
    <x v="1"/>
    <s v="Travel_Rarely"/>
    <n v="310"/>
    <x v="1"/>
    <n v="10"/>
    <n v="1"/>
    <x v="2"/>
    <n v="1"/>
    <n v="784"/>
    <n v="1"/>
    <x v="1"/>
    <n v="79"/>
    <n v="4"/>
    <n v="1"/>
    <x v="1"/>
    <n v="3"/>
    <x v="0"/>
    <n v="3505"/>
    <n v="19630"/>
    <n v="1"/>
    <s v="Y"/>
    <s v="No"/>
    <n v="18"/>
    <n v="3"/>
    <n v="4"/>
    <n v="80"/>
    <n v="0"/>
    <n v="2"/>
    <n v="3"/>
    <n v="3"/>
    <n v="2"/>
    <n v="2"/>
    <n v="0"/>
    <n v="2"/>
  </r>
  <r>
    <n v="47"/>
    <x v="1"/>
    <x v="0"/>
    <s v="Travel_Frequently"/>
    <n v="719"/>
    <x v="0"/>
    <n v="27"/>
    <n v="2"/>
    <x v="0"/>
    <n v="1"/>
    <n v="785"/>
    <n v="2"/>
    <x v="0"/>
    <n v="77"/>
    <n v="4"/>
    <n v="2"/>
    <x v="0"/>
    <n v="3"/>
    <x v="0"/>
    <n v="6397"/>
    <n v="10339"/>
    <n v="4"/>
    <s v="Y"/>
    <s v="Yes"/>
    <n v="12"/>
    <n v="3"/>
    <n v="4"/>
    <n v="80"/>
    <n v="0"/>
    <n v="8"/>
    <n v="2"/>
    <n v="3"/>
    <n v="5"/>
    <n v="4"/>
    <n v="1"/>
    <n v="3"/>
  </r>
  <r>
    <n v="34"/>
    <x v="2"/>
    <x v="1"/>
    <s v="Travel_Rarely"/>
    <n v="304"/>
    <x v="0"/>
    <n v="2"/>
    <n v="3"/>
    <x v="1"/>
    <n v="1"/>
    <n v="786"/>
    <n v="4"/>
    <x v="1"/>
    <n v="60"/>
    <n v="3"/>
    <n v="2"/>
    <x v="0"/>
    <n v="4"/>
    <x v="0"/>
    <n v="6274"/>
    <n v="18686"/>
    <n v="1"/>
    <s v="Y"/>
    <s v="No"/>
    <n v="22"/>
    <n v="4"/>
    <n v="3"/>
    <n v="80"/>
    <n v="0"/>
    <n v="6"/>
    <n v="5"/>
    <n v="3"/>
    <n v="6"/>
    <n v="5"/>
    <n v="1"/>
    <n v="4"/>
  </r>
  <r>
    <n v="55"/>
    <x v="1"/>
    <x v="0"/>
    <s v="Travel_Rarely"/>
    <n v="725"/>
    <x v="1"/>
    <n v="2"/>
    <n v="3"/>
    <x v="2"/>
    <n v="1"/>
    <n v="787"/>
    <n v="4"/>
    <x v="1"/>
    <n v="78"/>
    <n v="3"/>
    <n v="5"/>
    <x v="5"/>
    <n v="1"/>
    <x v="1"/>
    <n v="19859"/>
    <n v="21199"/>
    <n v="5"/>
    <s v="Y"/>
    <s v="Yes"/>
    <n v="13"/>
    <n v="3"/>
    <n v="4"/>
    <n v="80"/>
    <n v="1"/>
    <n v="24"/>
    <n v="2"/>
    <n v="3"/>
    <n v="5"/>
    <n v="2"/>
    <n v="1"/>
    <n v="4"/>
  </r>
  <r>
    <n v="36"/>
    <x v="0"/>
    <x v="1"/>
    <s v="Non-Travel"/>
    <n v="1434"/>
    <x v="0"/>
    <n v="8"/>
    <n v="4"/>
    <x v="0"/>
    <n v="1"/>
    <n v="789"/>
    <n v="1"/>
    <x v="1"/>
    <n v="76"/>
    <n v="2"/>
    <n v="3"/>
    <x v="0"/>
    <n v="1"/>
    <x v="0"/>
    <n v="7587"/>
    <n v="14229"/>
    <n v="1"/>
    <s v="Y"/>
    <s v="No"/>
    <n v="15"/>
    <n v="3"/>
    <n v="2"/>
    <n v="80"/>
    <n v="0"/>
    <n v="10"/>
    <n v="1"/>
    <n v="3"/>
    <n v="10"/>
    <n v="7"/>
    <n v="0"/>
    <n v="9"/>
  </r>
  <r>
    <n v="52"/>
    <x v="1"/>
    <x v="1"/>
    <s v="Non-Travel"/>
    <n v="715"/>
    <x v="1"/>
    <n v="19"/>
    <n v="4"/>
    <x v="2"/>
    <n v="1"/>
    <n v="791"/>
    <n v="4"/>
    <x v="1"/>
    <n v="41"/>
    <n v="3"/>
    <n v="1"/>
    <x v="1"/>
    <n v="4"/>
    <x v="1"/>
    <n v="4258"/>
    <n v="26589"/>
    <n v="0"/>
    <s v="Y"/>
    <s v="No"/>
    <n v="18"/>
    <n v="3"/>
    <n v="1"/>
    <n v="80"/>
    <n v="1"/>
    <n v="5"/>
    <n v="3"/>
    <n v="3"/>
    <n v="4"/>
    <n v="3"/>
    <n v="1"/>
    <n v="2"/>
  </r>
  <r>
    <n v="26"/>
    <x v="2"/>
    <x v="1"/>
    <s v="Travel_Frequently"/>
    <n v="575"/>
    <x v="1"/>
    <n v="1"/>
    <n v="2"/>
    <x v="0"/>
    <n v="1"/>
    <n v="792"/>
    <n v="1"/>
    <x v="0"/>
    <n v="71"/>
    <n v="1"/>
    <n v="1"/>
    <x v="2"/>
    <n v="4"/>
    <x v="2"/>
    <n v="4364"/>
    <n v="5288"/>
    <n v="3"/>
    <s v="Y"/>
    <s v="No"/>
    <n v="14"/>
    <n v="3"/>
    <n v="1"/>
    <n v="80"/>
    <n v="1"/>
    <n v="5"/>
    <n v="2"/>
    <n v="3"/>
    <n v="2"/>
    <n v="2"/>
    <n v="2"/>
    <n v="0"/>
  </r>
  <r>
    <n v="29"/>
    <x v="2"/>
    <x v="1"/>
    <s v="Travel_Rarely"/>
    <n v="657"/>
    <x v="1"/>
    <n v="27"/>
    <n v="3"/>
    <x v="2"/>
    <n v="1"/>
    <n v="793"/>
    <n v="2"/>
    <x v="0"/>
    <n v="66"/>
    <n v="3"/>
    <n v="2"/>
    <x v="4"/>
    <n v="3"/>
    <x v="1"/>
    <n v="4335"/>
    <n v="25549"/>
    <n v="4"/>
    <s v="Y"/>
    <s v="No"/>
    <n v="12"/>
    <n v="3"/>
    <n v="1"/>
    <n v="80"/>
    <n v="1"/>
    <n v="11"/>
    <n v="3"/>
    <n v="2"/>
    <n v="8"/>
    <n v="7"/>
    <n v="1"/>
    <n v="1"/>
  </r>
  <r>
    <n v="26"/>
    <x v="2"/>
    <x v="0"/>
    <s v="Travel_Rarely"/>
    <n v="1146"/>
    <x v="0"/>
    <n v="8"/>
    <n v="3"/>
    <x v="4"/>
    <n v="1"/>
    <n v="796"/>
    <n v="4"/>
    <x v="1"/>
    <n v="38"/>
    <n v="2"/>
    <n v="2"/>
    <x v="0"/>
    <n v="1"/>
    <x v="0"/>
    <n v="5326"/>
    <n v="3064"/>
    <n v="6"/>
    <s v="Y"/>
    <s v="No"/>
    <n v="17"/>
    <n v="3"/>
    <n v="3"/>
    <n v="80"/>
    <n v="0"/>
    <n v="6"/>
    <n v="2"/>
    <n v="2"/>
    <n v="4"/>
    <n v="3"/>
    <n v="1"/>
    <n v="2"/>
  </r>
  <r>
    <n v="34"/>
    <x v="2"/>
    <x v="1"/>
    <s v="Travel_Rarely"/>
    <n v="182"/>
    <x v="1"/>
    <n v="1"/>
    <n v="4"/>
    <x v="0"/>
    <n v="1"/>
    <n v="797"/>
    <n v="2"/>
    <x v="0"/>
    <n v="72"/>
    <n v="4"/>
    <n v="1"/>
    <x v="1"/>
    <n v="4"/>
    <x v="0"/>
    <n v="3280"/>
    <n v="13551"/>
    <n v="2"/>
    <s v="Y"/>
    <s v="No"/>
    <n v="16"/>
    <n v="3"/>
    <n v="3"/>
    <n v="80"/>
    <n v="0"/>
    <n v="10"/>
    <n v="2"/>
    <n v="3"/>
    <n v="4"/>
    <n v="2"/>
    <n v="1"/>
    <n v="3"/>
  </r>
  <r>
    <n v="54"/>
    <x v="1"/>
    <x v="1"/>
    <s v="Travel_Rarely"/>
    <n v="376"/>
    <x v="1"/>
    <n v="19"/>
    <n v="4"/>
    <x v="2"/>
    <n v="1"/>
    <n v="799"/>
    <n v="4"/>
    <x v="0"/>
    <n v="95"/>
    <n v="3"/>
    <n v="2"/>
    <x v="3"/>
    <n v="1"/>
    <x v="2"/>
    <n v="5485"/>
    <n v="22670"/>
    <n v="9"/>
    <s v="Y"/>
    <s v="Yes"/>
    <n v="11"/>
    <n v="3"/>
    <n v="2"/>
    <n v="80"/>
    <n v="2"/>
    <n v="9"/>
    <n v="4"/>
    <n v="3"/>
    <n v="5"/>
    <n v="3"/>
    <n v="1"/>
    <n v="4"/>
  </r>
  <r>
    <n v="27"/>
    <x v="2"/>
    <x v="1"/>
    <s v="Travel_Frequently"/>
    <n v="829"/>
    <x v="0"/>
    <n v="8"/>
    <n v="1"/>
    <x v="3"/>
    <n v="1"/>
    <n v="800"/>
    <n v="3"/>
    <x v="1"/>
    <n v="84"/>
    <n v="3"/>
    <n v="2"/>
    <x v="0"/>
    <n v="4"/>
    <x v="1"/>
    <n v="4342"/>
    <n v="24008"/>
    <n v="0"/>
    <s v="Y"/>
    <s v="No"/>
    <n v="19"/>
    <n v="3"/>
    <n v="2"/>
    <n v="80"/>
    <n v="1"/>
    <n v="5"/>
    <n v="3"/>
    <n v="3"/>
    <n v="4"/>
    <n v="2"/>
    <n v="1"/>
    <n v="1"/>
  </r>
  <r>
    <n v="37"/>
    <x v="0"/>
    <x v="1"/>
    <s v="Travel_Rarely"/>
    <n v="571"/>
    <x v="1"/>
    <n v="10"/>
    <n v="1"/>
    <x v="0"/>
    <n v="1"/>
    <n v="802"/>
    <n v="4"/>
    <x v="0"/>
    <n v="82"/>
    <n v="3"/>
    <n v="1"/>
    <x v="1"/>
    <n v="1"/>
    <x v="2"/>
    <n v="2782"/>
    <n v="19905"/>
    <n v="0"/>
    <s v="Y"/>
    <s v="Yes"/>
    <n v="13"/>
    <n v="3"/>
    <n v="2"/>
    <n v="80"/>
    <n v="2"/>
    <n v="6"/>
    <n v="3"/>
    <n v="2"/>
    <n v="5"/>
    <n v="3"/>
    <n v="4"/>
    <n v="3"/>
  </r>
  <r>
    <n v="38"/>
    <x v="0"/>
    <x v="1"/>
    <s v="Travel_Frequently"/>
    <n v="240"/>
    <x v="1"/>
    <n v="2"/>
    <n v="4"/>
    <x v="0"/>
    <n v="1"/>
    <n v="803"/>
    <n v="1"/>
    <x v="0"/>
    <n v="75"/>
    <n v="4"/>
    <n v="2"/>
    <x v="3"/>
    <n v="1"/>
    <x v="0"/>
    <n v="5980"/>
    <n v="26085"/>
    <n v="6"/>
    <s v="Y"/>
    <s v="Yes"/>
    <n v="12"/>
    <n v="3"/>
    <n v="4"/>
    <n v="80"/>
    <n v="0"/>
    <n v="17"/>
    <n v="2"/>
    <n v="3"/>
    <n v="15"/>
    <n v="7"/>
    <n v="4"/>
    <n v="12"/>
  </r>
  <r>
    <n v="34"/>
    <x v="2"/>
    <x v="1"/>
    <s v="Travel_Rarely"/>
    <n v="121"/>
    <x v="1"/>
    <n v="2"/>
    <n v="4"/>
    <x v="2"/>
    <n v="1"/>
    <n v="804"/>
    <n v="3"/>
    <x v="0"/>
    <n v="86"/>
    <n v="2"/>
    <n v="1"/>
    <x v="1"/>
    <n v="1"/>
    <x v="0"/>
    <n v="4381"/>
    <n v="7530"/>
    <n v="1"/>
    <s v="Y"/>
    <s v="No"/>
    <n v="11"/>
    <n v="3"/>
    <n v="3"/>
    <n v="80"/>
    <n v="0"/>
    <n v="6"/>
    <n v="3"/>
    <n v="3"/>
    <n v="6"/>
    <n v="5"/>
    <n v="1"/>
    <n v="3"/>
  </r>
  <r>
    <n v="35"/>
    <x v="2"/>
    <x v="1"/>
    <s v="Travel_Rarely"/>
    <n v="384"/>
    <x v="0"/>
    <n v="8"/>
    <n v="4"/>
    <x v="0"/>
    <n v="1"/>
    <n v="805"/>
    <n v="1"/>
    <x v="0"/>
    <n v="72"/>
    <n v="3"/>
    <n v="1"/>
    <x v="6"/>
    <n v="4"/>
    <x v="1"/>
    <n v="2572"/>
    <n v="20317"/>
    <n v="1"/>
    <s v="Y"/>
    <s v="No"/>
    <n v="16"/>
    <n v="3"/>
    <n v="2"/>
    <n v="80"/>
    <n v="1"/>
    <n v="3"/>
    <n v="1"/>
    <n v="2"/>
    <n v="3"/>
    <n v="2"/>
    <n v="0"/>
    <n v="2"/>
  </r>
  <r>
    <n v="30"/>
    <x v="2"/>
    <x v="1"/>
    <s v="Travel_Rarely"/>
    <n v="921"/>
    <x v="1"/>
    <n v="1"/>
    <n v="3"/>
    <x v="0"/>
    <n v="1"/>
    <n v="806"/>
    <n v="4"/>
    <x v="1"/>
    <n v="38"/>
    <n v="1"/>
    <n v="1"/>
    <x v="2"/>
    <n v="3"/>
    <x v="1"/>
    <n v="3833"/>
    <n v="24375"/>
    <n v="3"/>
    <s v="Y"/>
    <s v="No"/>
    <n v="21"/>
    <n v="4"/>
    <n v="3"/>
    <n v="80"/>
    <n v="2"/>
    <n v="7"/>
    <n v="2"/>
    <n v="3"/>
    <n v="2"/>
    <n v="2"/>
    <n v="0"/>
    <n v="2"/>
  </r>
  <r>
    <n v="40"/>
    <x v="0"/>
    <x v="1"/>
    <s v="Travel_Frequently"/>
    <n v="791"/>
    <x v="1"/>
    <n v="2"/>
    <n v="2"/>
    <x v="2"/>
    <n v="1"/>
    <n v="807"/>
    <n v="3"/>
    <x v="0"/>
    <n v="38"/>
    <n v="4"/>
    <n v="2"/>
    <x v="4"/>
    <n v="2"/>
    <x v="1"/>
    <n v="4244"/>
    <n v="9931"/>
    <n v="1"/>
    <s v="Y"/>
    <s v="No"/>
    <n v="24"/>
    <n v="4"/>
    <n v="4"/>
    <n v="80"/>
    <n v="1"/>
    <n v="8"/>
    <n v="2"/>
    <n v="3"/>
    <n v="8"/>
    <n v="7"/>
    <n v="3"/>
    <n v="7"/>
  </r>
  <r>
    <n v="34"/>
    <x v="2"/>
    <x v="1"/>
    <s v="Travel_Rarely"/>
    <n v="1111"/>
    <x v="0"/>
    <n v="8"/>
    <n v="2"/>
    <x v="0"/>
    <n v="1"/>
    <n v="808"/>
    <n v="3"/>
    <x v="0"/>
    <n v="93"/>
    <n v="3"/>
    <n v="2"/>
    <x v="0"/>
    <n v="1"/>
    <x v="1"/>
    <n v="6500"/>
    <n v="13305"/>
    <n v="5"/>
    <s v="Y"/>
    <s v="No"/>
    <n v="17"/>
    <n v="3"/>
    <n v="2"/>
    <n v="80"/>
    <n v="1"/>
    <n v="6"/>
    <n v="1"/>
    <n v="3"/>
    <n v="3"/>
    <n v="2"/>
    <n v="1"/>
    <n v="2"/>
  </r>
  <r>
    <n v="42"/>
    <x v="0"/>
    <x v="1"/>
    <s v="Travel_Frequently"/>
    <n v="570"/>
    <x v="1"/>
    <n v="8"/>
    <n v="3"/>
    <x v="0"/>
    <n v="1"/>
    <n v="809"/>
    <n v="2"/>
    <x v="1"/>
    <n v="66"/>
    <n v="3"/>
    <n v="5"/>
    <x v="5"/>
    <n v="4"/>
    <x v="2"/>
    <n v="18430"/>
    <n v="16225"/>
    <n v="1"/>
    <s v="Y"/>
    <s v="No"/>
    <n v="13"/>
    <n v="3"/>
    <n v="2"/>
    <n v="80"/>
    <n v="1"/>
    <n v="24"/>
    <n v="4"/>
    <n v="2"/>
    <n v="24"/>
    <n v="7"/>
    <n v="14"/>
    <n v="9"/>
  </r>
  <r>
    <n v="23"/>
    <x v="3"/>
    <x v="0"/>
    <s v="Travel_Rarely"/>
    <n v="1243"/>
    <x v="1"/>
    <n v="6"/>
    <n v="3"/>
    <x v="0"/>
    <n v="1"/>
    <n v="811"/>
    <n v="3"/>
    <x v="1"/>
    <n v="63"/>
    <n v="4"/>
    <n v="1"/>
    <x v="2"/>
    <n v="1"/>
    <x v="1"/>
    <n v="1601"/>
    <n v="3445"/>
    <n v="1"/>
    <s v="Y"/>
    <s v="Yes"/>
    <n v="21"/>
    <n v="4"/>
    <n v="3"/>
    <n v="80"/>
    <n v="2"/>
    <n v="1"/>
    <n v="2"/>
    <n v="3"/>
    <n v="0"/>
    <n v="0"/>
    <n v="0"/>
    <n v="0"/>
  </r>
  <r>
    <n v="24"/>
    <x v="3"/>
    <x v="1"/>
    <s v="Non-Travel"/>
    <n v="1092"/>
    <x v="1"/>
    <n v="9"/>
    <n v="3"/>
    <x v="0"/>
    <n v="1"/>
    <n v="812"/>
    <n v="3"/>
    <x v="1"/>
    <n v="60"/>
    <n v="2"/>
    <n v="1"/>
    <x v="2"/>
    <n v="2"/>
    <x v="2"/>
    <n v="2694"/>
    <n v="26551"/>
    <n v="1"/>
    <s v="Y"/>
    <s v="No"/>
    <n v="11"/>
    <n v="3"/>
    <n v="3"/>
    <n v="80"/>
    <n v="3"/>
    <n v="1"/>
    <n v="4"/>
    <n v="3"/>
    <n v="1"/>
    <n v="0"/>
    <n v="0"/>
    <n v="0"/>
  </r>
  <r>
    <n v="52"/>
    <x v="1"/>
    <x v="1"/>
    <s v="Travel_Rarely"/>
    <n v="1325"/>
    <x v="1"/>
    <n v="11"/>
    <n v="4"/>
    <x v="0"/>
    <n v="1"/>
    <n v="813"/>
    <n v="4"/>
    <x v="0"/>
    <n v="82"/>
    <n v="3"/>
    <n v="2"/>
    <x v="2"/>
    <n v="3"/>
    <x v="1"/>
    <n v="3149"/>
    <n v="21821"/>
    <n v="8"/>
    <s v="Y"/>
    <s v="No"/>
    <n v="20"/>
    <n v="4"/>
    <n v="2"/>
    <n v="80"/>
    <n v="1"/>
    <n v="9"/>
    <n v="3"/>
    <n v="3"/>
    <n v="5"/>
    <n v="2"/>
    <n v="1"/>
    <n v="4"/>
  </r>
  <r>
    <n v="50"/>
    <x v="1"/>
    <x v="1"/>
    <s v="Travel_Rarely"/>
    <n v="691"/>
    <x v="1"/>
    <n v="2"/>
    <n v="3"/>
    <x v="2"/>
    <n v="1"/>
    <n v="815"/>
    <n v="3"/>
    <x v="1"/>
    <n v="64"/>
    <n v="3"/>
    <n v="4"/>
    <x v="7"/>
    <n v="3"/>
    <x v="1"/>
    <n v="17639"/>
    <n v="6881"/>
    <n v="5"/>
    <s v="Y"/>
    <s v="No"/>
    <n v="16"/>
    <n v="3"/>
    <n v="4"/>
    <n v="80"/>
    <n v="0"/>
    <n v="30"/>
    <n v="3"/>
    <n v="3"/>
    <n v="4"/>
    <n v="3"/>
    <n v="0"/>
    <n v="3"/>
  </r>
  <r>
    <n v="29"/>
    <x v="2"/>
    <x v="0"/>
    <s v="Travel_Rarely"/>
    <n v="805"/>
    <x v="1"/>
    <n v="1"/>
    <n v="2"/>
    <x v="0"/>
    <n v="1"/>
    <n v="816"/>
    <n v="2"/>
    <x v="0"/>
    <n v="36"/>
    <n v="2"/>
    <n v="1"/>
    <x v="2"/>
    <n v="1"/>
    <x v="1"/>
    <n v="2319"/>
    <n v="6689"/>
    <n v="1"/>
    <s v="Y"/>
    <s v="Yes"/>
    <n v="11"/>
    <n v="3"/>
    <n v="4"/>
    <n v="80"/>
    <n v="1"/>
    <n v="1"/>
    <n v="1"/>
    <n v="3"/>
    <n v="1"/>
    <n v="0"/>
    <n v="0"/>
    <n v="0"/>
  </r>
  <r>
    <n v="33"/>
    <x v="2"/>
    <x v="1"/>
    <s v="Travel_Rarely"/>
    <n v="213"/>
    <x v="1"/>
    <n v="7"/>
    <n v="3"/>
    <x v="2"/>
    <n v="1"/>
    <n v="817"/>
    <n v="3"/>
    <x v="1"/>
    <n v="49"/>
    <n v="3"/>
    <n v="3"/>
    <x v="7"/>
    <n v="3"/>
    <x v="1"/>
    <n v="11691"/>
    <n v="25995"/>
    <n v="0"/>
    <s v="Y"/>
    <s v="No"/>
    <n v="11"/>
    <n v="3"/>
    <n v="4"/>
    <n v="80"/>
    <n v="0"/>
    <n v="14"/>
    <n v="3"/>
    <n v="4"/>
    <n v="13"/>
    <n v="9"/>
    <n v="3"/>
    <n v="7"/>
  </r>
  <r>
    <n v="33"/>
    <x v="2"/>
    <x v="0"/>
    <s v="Travel_Rarely"/>
    <n v="118"/>
    <x v="0"/>
    <n v="16"/>
    <n v="3"/>
    <x v="3"/>
    <n v="1"/>
    <n v="819"/>
    <n v="1"/>
    <x v="0"/>
    <n v="69"/>
    <n v="3"/>
    <n v="2"/>
    <x v="0"/>
    <n v="1"/>
    <x v="0"/>
    <n v="5324"/>
    <n v="26507"/>
    <n v="5"/>
    <s v="Y"/>
    <s v="No"/>
    <n v="15"/>
    <n v="3"/>
    <n v="3"/>
    <n v="80"/>
    <n v="0"/>
    <n v="6"/>
    <n v="3"/>
    <n v="3"/>
    <n v="3"/>
    <n v="2"/>
    <n v="0"/>
    <n v="2"/>
  </r>
  <r>
    <n v="47"/>
    <x v="1"/>
    <x v="1"/>
    <s v="Travel_Rarely"/>
    <n v="202"/>
    <x v="1"/>
    <n v="2"/>
    <n v="2"/>
    <x v="1"/>
    <n v="1"/>
    <n v="820"/>
    <n v="3"/>
    <x v="0"/>
    <n v="33"/>
    <n v="3"/>
    <n v="4"/>
    <x v="5"/>
    <n v="4"/>
    <x v="1"/>
    <n v="16752"/>
    <n v="12982"/>
    <n v="1"/>
    <s v="Y"/>
    <s v="Yes"/>
    <n v="11"/>
    <n v="3"/>
    <n v="3"/>
    <n v="80"/>
    <n v="1"/>
    <n v="26"/>
    <n v="3"/>
    <n v="2"/>
    <n v="26"/>
    <n v="14"/>
    <n v="3"/>
    <n v="0"/>
  </r>
  <r>
    <n v="36"/>
    <x v="0"/>
    <x v="1"/>
    <s v="Travel_Rarely"/>
    <n v="676"/>
    <x v="1"/>
    <n v="1"/>
    <n v="3"/>
    <x v="1"/>
    <n v="1"/>
    <n v="823"/>
    <n v="3"/>
    <x v="0"/>
    <n v="35"/>
    <n v="3"/>
    <n v="2"/>
    <x v="3"/>
    <n v="2"/>
    <x v="1"/>
    <n v="5228"/>
    <n v="23361"/>
    <n v="0"/>
    <s v="Y"/>
    <s v="No"/>
    <n v="15"/>
    <n v="3"/>
    <n v="1"/>
    <n v="80"/>
    <n v="1"/>
    <n v="10"/>
    <n v="2"/>
    <n v="3"/>
    <n v="9"/>
    <n v="7"/>
    <n v="0"/>
    <n v="5"/>
  </r>
  <r>
    <n v="29"/>
    <x v="2"/>
    <x v="1"/>
    <s v="Travel_Rarely"/>
    <n v="1252"/>
    <x v="1"/>
    <n v="23"/>
    <n v="2"/>
    <x v="0"/>
    <n v="1"/>
    <n v="824"/>
    <n v="3"/>
    <x v="1"/>
    <n v="81"/>
    <n v="4"/>
    <n v="1"/>
    <x v="1"/>
    <n v="3"/>
    <x v="1"/>
    <n v="2700"/>
    <n v="23779"/>
    <n v="1"/>
    <s v="Y"/>
    <s v="No"/>
    <n v="24"/>
    <n v="4"/>
    <n v="3"/>
    <n v="80"/>
    <n v="1"/>
    <n v="10"/>
    <n v="3"/>
    <n v="3"/>
    <n v="10"/>
    <n v="7"/>
    <n v="0"/>
    <n v="7"/>
  </r>
  <r>
    <n v="58"/>
    <x v="1"/>
    <x v="0"/>
    <s v="Travel_Rarely"/>
    <n v="286"/>
    <x v="1"/>
    <n v="2"/>
    <n v="4"/>
    <x v="0"/>
    <n v="1"/>
    <n v="825"/>
    <n v="4"/>
    <x v="1"/>
    <n v="31"/>
    <n v="3"/>
    <n v="5"/>
    <x v="7"/>
    <n v="2"/>
    <x v="0"/>
    <n v="19246"/>
    <n v="25761"/>
    <n v="7"/>
    <s v="Y"/>
    <s v="Yes"/>
    <n v="12"/>
    <n v="3"/>
    <n v="4"/>
    <n v="80"/>
    <n v="0"/>
    <n v="40"/>
    <n v="2"/>
    <n v="3"/>
    <n v="31"/>
    <n v="15"/>
    <n v="13"/>
    <n v="8"/>
  </r>
  <r>
    <n v="35"/>
    <x v="2"/>
    <x v="1"/>
    <s v="Travel_Rarely"/>
    <n v="1258"/>
    <x v="1"/>
    <n v="1"/>
    <n v="4"/>
    <x v="0"/>
    <n v="1"/>
    <n v="826"/>
    <n v="4"/>
    <x v="0"/>
    <n v="40"/>
    <n v="4"/>
    <n v="1"/>
    <x v="1"/>
    <n v="3"/>
    <x v="0"/>
    <n v="2506"/>
    <n v="13301"/>
    <n v="3"/>
    <s v="Y"/>
    <s v="No"/>
    <n v="13"/>
    <n v="3"/>
    <n v="3"/>
    <n v="80"/>
    <n v="0"/>
    <n v="7"/>
    <n v="0"/>
    <n v="3"/>
    <n v="2"/>
    <n v="2"/>
    <n v="2"/>
    <n v="2"/>
  </r>
  <r>
    <n v="42"/>
    <x v="0"/>
    <x v="1"/>
    <s v="Travel_Rarely"/>
    <n v="932"/>
    <x v="1"/>
    <n v="1"/>
    <n v="2"/>
    <x v="0"/>
    <n v="1"/>
    <n v="827"/>
    <n v="4"/>
    <x v="0"/>
    <n v="43"/>
    <n v="2"/>
    <n v="2"/>
    <x v="3"/>
    <n v="4"/>
    <x v="1"/>
    <n v="6062"/>
    <n v="4051"/>
    <n v="9"/>
    <s v="Y"/>
    <s v="Yes"/>
    <n v="13"/>
    <n v="3"/>
    <n v="4"/>
    <n v="80"/>
    <n v="1"/>
    <n v="8"/>
    <n v="4"/>
    <n v="3"/>
    <n v="4"/>
    <n v="3"/>
    <n v="0"/>
    <n v="2"/>
  </r>
  <r>
    <n v="28"/>
    <x v="2"/>
    <x v="0"/>
    <s v="Travel_Rarely"/>
    <n v="890"/>
    <x v="1"/>
    <n v="2"/>
    <n v="4"/>
    <x v="2"/>
    <n v="1"/>
    <n v="828"/>
    <n v="3"/>
    <x v="1"/>
    <n v="46"/>
    <n v="3"/>
    <n v="1"/>
    <x v="1"/>
    <n v="3"/>
    <x v="0"/>
    <n v="4382"/>
    <n v="16374"/>
    <n v="6"/>
    <s v="Y"/>
    <s v="No"/>
    <n v="17"/>
    <n v="3"/>
    <n v="4"/>
    <n v="80"/>
    <n v="0"/>
    <n v="5"/>
    <n v="3"/>
    <n v="2"/>
    <n v="2"/>
    <n v="2"/>
    <n v="2"/>
    <n v="1"/>
  </r>
  <r>
    <n v="36"/>
    <x v="0"/>
    <x v="1"/>
    <s v="Travel_Rarely"/>
    <n v="1041"/>
    <x v="2"/>
    <n v="13"/>
    <n v="3"/>
    <x v="5"/>
    <n v="1"/>
    <n v="829"/>
    <n v="3"/>
    <x v="1"/>
    <n v="36"/>
    <n v="3"/>
    <n v="1"/>
    <x v="8"/>
    <n v="2"/>
    <x v="1"/>
    <n v="2143"/>
    <n v="25527"/>
    <n v="4"/>
    <s v="Y"/>
    <s v="No"/>
    <n v="13"/>
    <n v="3"/>
    <n v="2"/>
    <n v="80"/>
    <n v="1"/>
    <n v="8"/>
    <n v="2"/>
    <n v="3"/>
    <n v="5"/>
    <n v="2"/>
    <n v="0"/>
    <n v="4"/>
  </r>
  <r>
    <n v="32"/>
    <x v="2"/>
    <x v="1"/>
    <s v="Travel_Rarely"/>
    <n v="859"/>
    <x v="1"/>
    <n v="4"/>
    <n v="3"/>
    <x v="0"/>
    <n v="1"/>
    <n v="830"/>
    <n v="3"/>
    <x v="0"/>
    <n v="98"/>
    <n v="2"/>
    <n v="2"/>
    <x v="3"/>
    <n v="3"/>
    <x v="1"/>
    <n v="6162"/>
    <n v="19124"/>
    <n v="1"/>
    <s v="Y"/>
    <s v="No"/>
    <n v="12"/>
    <n v="3"/>
    <n v="3"/>
    <n v="80"/>
    <n v="1"/>
    <n v="14"/>
    <n v="3"/>
    <n v="3"/>
    <n v="14"/>
    <n v="13"/>
    <n v="6"/>
    <n v="8"/>
  </r>
  <r>
    <n v="40"/>
    <x v="0"/>
    <x v="1"/>
    <s v="Travel_Frequently"/>
    <n v="720"/>
    <x v="1"/>
    <n v="16"/>
    <n v="4"/>
    <x v="2"/>
    <n v="1"/>
    <n v="832"/>
    <n v="1"/>
    <x v="1"/>
    <n v="51"/>
    <n v="2"/>
    <n v="2"/>
    <x v="2"/>
    <n v="3"/>
    <x v="0"/>
    <n v="5094"/>
    <n v="11983"/>
    <n v="6"/>
    <s v="Y"/>
    <s v="No"/>
    <n v="14"/>
    <n v="3"/>
    <n v="4"/>
    <n v="80"/>
    <n v="0"/>
    <n v="10"/>
    <n v="6"/>
    <n v="3"/>
    <n v="1"/>
    <n v="0"/>
    <n v="0"/>
    <n v="0"/>
  </r>
  <r>
    <n v="30"/>
    <x v="2"/>
    <x v="1"/>
    <s v="Travel_Rarely"/>
    <n v="946"/>
    <x v="1"/>
    <n v="2"/>
    <n v="3"/>
    <x v="2"/>
    <n v="1"/>
    <n v="833"/>
    <n v="3"/>
    <x v="0"/>
    <n v="52"/>
    <n v="2"/>
    <n v="2"/>
    <x v="3"/>
    <n v="4"/>
    <x v="0"/>
    <n v="6877"/>
    <n v="20234"/>
    <n v="5"/>
    <s v="Y"/>
    <s v="Yes"/>
    <n v="24"/>
    <n v="4"/>
    <n v="2"/>
    <n v="80"/>
    <n v="0"/>
    <n v="12"/>
    <n v="4"/>
    <n v="2"/>
    <n v="0"/>
    <n v="0"/>
    <n v="0"/>
    <n v="0"/>
  </r>
  <r>
    <n v="45"/>
    <x v="0"/>
    <x v="1"/>
    <s v="Travel_Rarely"/>
    <n v="252"/>
    <x v="1"/>
    <n v="2"/>
    <n v="3"/>
    <x v="0"/>
    <n v="1"/>
    <n v="834"/>
    <n v="2"/>
    <x v="0"/>
    <n v="95"/>
    <n v="2"/>
    <n v="1"/>
    <x v="1"/>
    <n v="3"/>
    <x v="0"/>
    <n v="2274"/>
    <n v="6153"/>
    <n v="1"/>
    <s v="Y"/>
    <s v="No"/>
    <n v="14"/>
    <n v="3"/>
    <n v="4"/>
    <n v="80"/>
    <n v="0"/>
    <n v="1"/>
    <n v="3"/>
    <n v="3"/>
    <n v="1"/>
    <n v="0"/>
    <n v="0"/>
    <n v="0"/>
  </r>
  <r>
    <n v="42"/>
    <x v="0"/>
    <x v="1"/>
    <s v="Travel_Rarely"/>
    <n v="933"/>
    <x v="1"/>
    <n v="29"/>
    <n v="3"/>
    <x v="0"/>
    <n v="1"/>
    <n v="836"/>
    <n v="2"/>
    <x v="1"/>
    <n v="98"/>
    <n v="3"/>
    <n v="2"/>
    <x v="3"/>
    <n v="2"/>
    <x v="1"/>
    <n v="4434"/>
    <n v="11806"/>
    <n v="1"/>
    <s v="Y"/>
    <s v="No"/>
    <n v="13"/>
    <n v="3"/>
    <n v="4"/>
    <n v="80"/>
    <n v="1"/>
    <n v="10"/>
    <n v="3"/>
    <n v="2"/>
    <n v="9"/>
    <n v="8"/>
    <n v="7"/>
    <n v="8"/>
  </r>
  <r>
    <n v="38"/>
    <x v="0"/>
    <x v="1"/>
    <s v="Travel_Frequently"/>
    <n v="471"/>
    <x v="1"/>
    <n v="12"/>
    <n v="3"/>
    <x v="0"/>
    <n v="1"/>
    <n v="837"/>
    <n v="1"/>
    <x v="1"/>
    <n v="45"/>
    <n v="2"/>
    <n v="2"/>
    <x v="4"/>
    <n v="1"/>
    <x v="2"/>
    <n v="6288"/>
    <n v="4284"/>
    <n v="2"/>
    <s v="Y"/>
    <s v="No"/>
    <n v="15"/>
    <n v="3"/>
    <n v="3"/>
    <n v="80"/>
    <n v="1"/>
    <n v="13"/>
    <n v="3"/>
    <n v="2"/>
    <n v="4"/>
    <n v="3"/>
    <n v="1"/>
    <n v="2"/>
  </r>
  <r>
    <n v="34"/>
    <x v="2"/>
    <x v="1"/>
    <s v="Travel_Frequently"/>
    <n v="702"/>
    <x v="1"/>
    <n v="16"/>
    <n v="4"/>
    <x v="0"/>
    <n v="1"/>
    <n v="838"/>
    <n v="3"/>
    <x v="0"/>
    <n v="100"/>
    <n v="2"/>
    <n v="1"/>
    <x v="1"/>
    <n v="4"/>
    <x v="0"/>
    <n v="2553"/>
    <n v="8306"/>
    <n v="1"/>
    <s v="Y"/>
    <s v="No"/>
    <n v="16"/>
    <n v="3"/>
    <n v="3"/>
    <n v="80"/>
    <n v="0"/>
    <n v="6"/>
    <n v="3"/>
    <n v="3"/>
    <n v="5"/>
    <n v="2"/>
    <n v="1"/>
    <n v="3"/>
  </r>
  <r>
    <n v="49"/>
    <x v="1"/>
    <x v="0"/>
    <s v="Travel_Rarely"/>
    <n v="1184"/>
    <x v="0"/>
    <n v="11"/>
    <n v="3"/>
    <x v="3"/>
    <n v="1"/>
    <n v="840"/>
    <n v="3"/>
    <x v="0"/>
    <n v="43"/>
    <n v="3"/>
    <n v="3"/>
    <x v="0"/>
    <n v="4"/>
    <x v="1"/>
    <n v="7654"/>
    <n v="5860"/>
    <n v="1"/>
    <s v="Y"/>
    <s v="No"/>
    <n v="18"/>
    <n v="3"/>
    <n v="1"/>
    <n v="80"/>
    <n v="2"/>
    <n v="9"/>
    <n v="3"/>
    <n v="4"/>
    <n v="9"/>
    <n v="8"/>
    <n v="7"/>
    <n v="7"/>
  </r>
  <r>
    <n v="55"/>
    <x v="1"/>
    <x v="0"/>
    <s v="Travel_Rarely"/>
    <n v="436"/>
    <x v="0"/>
    <n v="2"/>
    <n v="1"/>
    <x v="2"/>
    <n v="1"/>
    <n v="842"/>
    <n v="3"/>
    <x v="1"/>
    <n v="37"/>
    <n v="3"/>
    <n v="2"/>
    <x v="0"/>
    <n v="4"/>
    <x v="0"/>
    <n v="5160"/>
    <n v="21519"/>
    <n v="4"/>
    <s v="Y"/>
    <s v="No"/>
    <n v="16"/>
    <n v="3"/>
    <n v="3"/>
    <n v="80"/>
    <n v="0"/>
    <n v="12"/>
    <n v="3"/>
    <n v="2"/>
    <n v="9"/>
    <n v="7"/>
    <n v="7"/>
    <n v="3"/>
  </r>
  <r>
    <n v="43"/>
    <x v="0"/>
    <x v="1"/>
    <s v="Travel_Rarely"/>
    <n v="589"/>
    <x v="1"/>
    <n v="14"/>
    <n v="2"/>
    <x v="0"/>
    <n v="1"/>
    <n v="843"/>
    <n v="2"/>
    <x v="1"/>
    <n v="94"/>
    <n v="3"/>
    <n v="4"/>
    <x v="7"/>
    <n v="1"/>
    <x v="1"/>
    <n v="17159"/>
    <n v="5200"/>
    <n v="6"/>
    <s v="Y"/>
    <s v="No"/>
    <n v="24"/>
    <n v="4"/>
    <n v="3"/>
    <n v="80"/>
    <n v="1"/>
    <n v="22"/>
    <n v="3"/>
    <n v="3"/>
    <n v="4"/>
    <n v="1"/>
    <n v="1"/>
    <n v="0"/>
  </r>
  <r>
    <n v="27"/>
    <x v="2"/>
    <x v="1"/>
    <s v="Travel_Rarely"/>
    <n v="269"/>
    <x v="1"/>
    <n v="5"/>
    <n v="1"/>
    <x v="4"/>
    <n v="1"/>
    <n v="844"/>
    <n v="3"/>
    <x v="1"/>
    <n v="42"/>
    <n v="2"/>
    <n v="3"/>
    <x v="7"/>
    <n v="4"/>
    <x v="2"/>
    <n v="12808"/>
    <n v="8842"/>
    <n v="1"/>
    <s v="Y"/>
    <s v="Yes"/>
    <n v="16"/>
    <n v="3"/>
    <n v="2"/>
    <n v="80"/>
    <n v="1"/>
    <n v="9"/>
    <n v="3"/>
    <n v="3"/>
    <n v="9"/>
    <n v="8"/>
    <n v="0"/>
    <n v="8"/>
  </r>
  <r>
    <n v="35"/>
    <x v="2"/>
    <x v="1"/>
    <s v="Travel_Rarely"/>
    <n v="950"/>
    <x v="1"/>
    <n v="7"/>
    <n v="3"/>
    <x v="1"/>
    <n v="1"/>
    <n v="845"/>
    <n v="3"/>
    <x v="1"/>
    <n v="59"/>
    <n v="3"/>
    <n v="3"/>
    <x v="3"/>
    <n v="3"/>
    <x v="0"/>
    <n v="10221"/>
    <n v="18869"/>
    <n v="3"/>
    <s v="Y"/>
    <s v="No"/>
    <n v="21"/>
    <n v="4"/>
    <n v="2"/>
    <n v="80"/>
    <n v="0"/>
    <n v="17"/>
    <n v="3"/>
    <n v="4"/>
    <n v="8"/>
    <n v="5"/>
    <n v="1"/>
    <n v="6"/>
  </r>
  <r>
    <n v="28"/>
    <x v="2"/>
    <x v="1"/>
    <s v="Travel_Rarely"/>
    <n v="760"/>
    <x v="0"/>
    <n v="2"/>
    <n v="4"/>
    <x v="3"/>
    <n v="1"/>
    <n v="846"/>
    <n v="2"/>
    <x v="0"/>
    <n v="81"/>
    <n v="3"/>
    <n v="2"/>
    <x v="0"/>
    <n v="2"/>
    <x v="1"/>
    <n v="4779"/>
    <n v="3698"/>
    <n v="1"/>
    <s v="Y"/>
    <s v="Yes"/>
    <n v="20"/>
    <n v="4"/>
    <n v="1"/>
    <n v="80"/>
    <n v="0"/>
    <n v="8"/>
    <n v="2"/>
    <n v="3"/>
    <n v="8"/>
    <n v="7"/>
    <n v="7"/>
    <n v="5"/>
  </r>
  <r>
    <n v="34"/>
    <x v="2"/>
    <x v="1"/>
    <s v="Travel_Rarely"/>
    <n v="829"/>
    <x v="2"/>
    <n v="3"/>
    <n v="2"/>
    <x v="5"/>
    <n v="1"/>
    <n v="847"/>
    <n v="3"/>
    <x v="1"/>
    <n v="88"/>
    <n v="3"/>
    <n v="1"/>
    <x v="8"/>
    <n v="4"/>
    <x v="1"/>
    <n v="3737"/>
    <n v="2243"/>
    <n v="0"/>
    <s v="Y"/>
    <s v="No"/>
    <n v="19"/>
    <n v="3"/>
    <n v="3"/>
    <n v="80"/>
    <n v="1"/>
    <n v="4"/>
    <n v="1"/>
    <n v="1"/>
    <n v="3"/>
    <n v="2"/>
    <n v="0"/>
    <n v="2"/>
  </r>
  <r>
    <n v="26"/>
    <x v="2"/>
    <x v="0"/>
    <s v="Travel_Frequently"/>
    <n v="887"/>
    <x v="1"/>
    <n v="5"/>
    <n v="2"/>
    <x v="2"/>
    <n v="1"/>
    <n v="848"/>
    <n v="3"/>
    <x v="0"/>
    <n v="88"/>
    <n v="2"/>
    <n v="1"/>
    <x v="1"/>
    <n v="3"/>
    <x v="1"/>
    <n v="2366"/>
    <n v="20898"/>
    <n v="1"/>
    <s v="Y"/>
    <s v="Yes"/>
    <n v="14"/>
    <n v="3"/>
    <n v="1"/>
    <n v="80"/>
    <n v="1"/>
    <n v="8"/>
    <n v="2"/>
    <n v="3"/>
    <n v="8"/>
    <n v="7"/>
    <n v="1"/>
    <n v="7"/>
  </r>
  <r>
    <n v="27"/>
    <x v="2"/>
    <x v="1"/>
    <s v="Non-Travel"/>
    <n v="443"/>
    <x v="1"/>
    <n v="3"/>
    <n v="3"/>
    <x v="2"/>
    <n v="1"/>
    <n v="850"/>
    <n v="4"/>
    <x v="1"/>
    <n v="50"/>
    <n v="3"/>
    <n v="1"/>
    <x v="1"/>
    <n v="4"/>
    <x v="1"/>
    <n v="1706"/>
    <n v="16571"/>
    <n v="1"/>
    <s v="Y"/>
    <s v="No"/>
    <n v="11"/>
    <n v="3"/>
    <n v="3"/>
    <n v="80"/>
    <n v="3"/>
    <n v="0"/>
    <n v="6"/>
    <n v="2"/>
    <n v="0"/>
    <n v="0"/>
    <n v="0"/>
    <n v="0"/>
  </r>
  <r>
    <n v="51"/>
    <x v="1"/>
    <x v="1"/>
    <s v="Travel_Rarely"/>
    <n v="1318"/>
    <x v="0"/>
    <n v="26"/>
    <n v="4"/>
    <x v="3"/>
    <n v="1"/>
    <n v="851"/>
    <n v="1"/>
    <x v="0"/>
    <n v="66"/>
    <n v="3"/>
    <n v="4"/>
    <x v="5"/>
    <n v="3"/>
    <x v="1"/>
    <n v="16307"/>
    <n v="5594"/>
    <n v="2"/>
    <s v="Y"/>
    <s v="No"/>
    <n v="14"/>
    <n v="3"/>
    <n v="3"/>
    <n v="80"/>
    <n v="1"/>
    <n v="29"/>
    <n v="2"/>
    <n v="2"/>
    <n v="20"/>
    <n v="6"/>
    <n v="4"/>
    <n v="17"/>
  </r>
  <r>
    <n v="44"/>
    <x v="0"/>
    <x v="1"/>
    <s v="Travel_Rarely"/>
    <n v="625"/>
    <x v="1"/>
    <n v="4"/>
    <n v="3"/>
    <x v="2"/>
    <n v="1"/>
    <n v="852"/>
    <n v="4"/>
    <x v="1"/>
    <n v="50"/>
    <n v="3"/>
    <n v="2"/>
    <x v="4"/>
    <n v="2"/>
    <x v="0"/>
    <n v="5933"/>
    <n v="5197"/>
    <n v="9"/>
    <s v="Y"/>
    <s v="No"/>
    <n v="12"/>
    <n v="3"/>
    <n v="4"/>
    <n v="80"/>
    <n v="0"/>
    <n v="10"/>
    <n v="2"/>
    <n v="2"/>
    <n v="5"/>
    <n v="2"/>
    <n v="2"/>
    <n v="3"/>
  </r>
  <r>
    <n v="25"/>
    <x v="3"/>
    <x v="1"/>
    <s v="Travel_Rarely"/>
    <n v="180"/>
    <x v="1"/>
    <n v="2"/>
    <n v="1"/>
    <x v="2"/>
    <n v="1"/>
    <n v="854"/>
    <n v="1"/>
    <x v="1"/>
    <n v="65"/>
    <n v="4"/>
    <n v="1"/>
    <x v="1"/>
    <n v="1"/>
    <x v="0"/>
    <n v="3424"/>
    <n v="21632"/>
    <n v="7"/>
    <s v="Y"/>
    <s v="No"/>
    <n v="13"/>
    <n v="3"/>
    <n v="3"/>
    <n v="80"/>
    <n v="0"/>
    <n v="6"/>
    <n v="3"/>
    <n v="2"/>
    <n v="4"/>
    <n v="3"/>
    <n v="0"/>
    <n v="1"/>
  </r>
  <r>
    <n v="33"/>
    <x v="2"/>
    <x v="1"/>
    <s v="Travel_Rarely"/>
    <n v="586"/>
    <x v="0"/>
    <n v="1"/>
    <n v="3"/>
    <x v="2"/>
    <n v="1"/>
    <n v="855"/>
    <n v="1"/>
    <x v="1"/>
    <n v="48"/>
    <n v="4"/>
    <n v="2"/>
    <x v="0"/>
    <n v="1"/>
    <x v="2"/>
    <n v="4037"/>
    <n v="21816"/>
    <n v="1"/>
    <s v="Y"/>
    <s v="No"/>
    <n v="22"/>
    <n v="4"/>
    <n v="1"/>
    <n v="80"/>
    <n v="1"/>
    <n v="9"/>
    <n v="5"/>
    <n v="3"/>
    <n v="9"/>
    <n v="8"/>
    <n v="0"/>
    <n v="8"/>
  </r>
  <r>
    <n v="35"/>
    <x v="2"/>
    <x v="1"/>
    <s v="Travel_Rarely"/>
    <n v="1343"/>
    <x v="1"/>
    <n v="27"/>
    <n v="1"/>
    <x v="2"/>
    <n v="1"/>
    <n v="856"/>
    <n v="3"/>
    <x v="0"/>
    <n v="53"/>
    <n v="2"/>
    <n v="1"/>
    <x v="1"/>
    <n v="1"/>
    <x v="0"/>
    <n v="2559"/>
    <n v="17852"/>
    <n v="1"/>
    <s v="Y"/>
    <s v="No"/>
    <n v="11"/>
    <n v="3"/>
    <n v="4"/>
    <n v="80"/>
    <n v="0"/>
    <n v="6"/>
    <n v="3"/>
    <n v="2"/>
    <n v="6"/>
    <n v="5"/>
    <n v="1"/>
    <n v="1"/>
  </r>
  <r>
    <n v="36"/>
    <x v="0"/>
    <x v="1"/>
    <s v="Travel_Rarely"/>
    <n v="928"/>
    <x v="0"/>
    <n v="1"/>
    <n v="2"/>
    <x v="0"/>
    <n v="1"/>
    <n v="857"/>
    <n v="2"/>
    <x v="1"/>
    <n v="56"/>
    <n v="3"/>
    <n v="2"/>
    <x v="0"/>
    <n v="4"/>
    <x v="1"/>
    <n v="6201"/>
    <n v="2823"/>
    <n v="1"/>
    <s v="Y"/>
    <s v="Yes"/>
    <n v="14"/>
    <n v="3"/>
    <n v="4"/>
    <n v="80"/>
    <n v="1"/>
    <n v="18"/>
    <n v="1"/>
    <n v="2"/>
    <n v="18"/>
    <n v="14"/>
    <n v="4"/>
    <n v="11"/>
  </r>
  <r>
    <n v="32"/>
    <x v="2"/>
    <x v="1"/>
    <s v="Travel_Rarely"/>
    <n v="117"/>
    <x v="0"/>
    <n v="13"/>
    <n v="4"/>
    <x v="0"/>
    <n v="1"/>
    <n v="859"/>
    <n v="2"/>
    <x v="1"/>
    <n v="73"/>
    <n v="3"/>
    <n v="2"/>
    <x v="0"/>
    <n v="4"/>
    <x v="2"/>
    <n v="4403"/>
    <n v="9250"/>
    <n v="2"/>
    <s v="Y"/>
    <s v="No"/>
    <n v="11"/>
    <n v="3"/>
    <n v="3"/>
    <n v="80"/>
    <n v="1"/>
    <n v="8"/>
    <n v="3"/>
    <n v="2"/>
    <n v="5"/>
    <n v="2"/>
    <n v="0"/>
    <n v="3"/>
  </r>
  <r>
    <n v="30"/>
    <x v="2"/>
    <x v="1"/>
    <s v="Travel_Frequently"/>
    <n v="1012"/>
    <x v="1"/>
    <n v="5"/>
    <n v="4"/>
    <x v="0"/>
    <n v="1"/>
    <n v="861"/>
    <n v="2"/>
    <x v="1"/>
    <n v="75"/>
    <n v="2"/>
    <n v="1"/>
    <x v="1"/>
    <n v="4"/>
    <x v="2"/>
    <n v="3761"/>
    <n v="2373"/>
    <n v="9"/>
    <s v="Y"/>
    <s v="No"/>
    <n v="12"/>
    <n v="3"/>
    <n v="2"/>
    <n v="80"/>
    <n v="1"/>
    <n v="10"/>
    <n v="3"/>
    <n v="2"/>
    <n v="5"/>
    <n v="4"/>
    <n v="0"/>
    <n v="3"/>
  </r>
  <r>
    <n v="53"/>
    <x v="1"/>
    <x v="1"/>
    <s v="Travel_Rarely"/>
    <n v="661"/>
    <x v="0"/>
    <n v="7"/>
    <n v="2"/>
    <x v="3"/>
    <n v="1"/>
    <n v="862"/>
    <n v="1"/>
    <x v="0"/>
    <n v="78"/>
    <n v="2"/>
    <n v="3"/>
    <x v="0"/>
    <n v="4"/>
    <x v="1"/>
    <n v="10934"/>
    <n v="20715"/>
    <n v="7"/>
    <s v="Y"/>
    <s v="Yes"/>
    <n v="18"/>
    <n v="3"/>
    <n v="4"/>
    <n v="80"/>
    <n v="1"/>
    <n v="35"/>
    <n v="3"/>
    <n v="3"/>
    <n v="5"/>
    <n v="2"/>
    <n v="0"/>
    <n v="4"/>
  </r>
  <r>
    <n v="45"/>
    <x v="0"/>
    <x v="1"/>
    <s v="Travel_Rarely"/>
    <n v="930"/>
    <x v="0"/>
    <n v="9"/>
    <n v="3"/>
    <x v="3"/>
    <n v="1"/>
    <n v="864"/>
    <n v="4"/>
    <x v="1"/>
    <n v="74"/>
    <n v="3"/>
    <n v="3"/>
    <x v="0"/>
    <n v="1"/>
    <x v="2"/>
    <n v="10761"/>
    <n v="19239"/>
    <n v="4"/>
    <s v="Y"/>
    <s v="Yes"/>
    <n v="12"/>
    <n v="3"/>
    <n v="3"/>
    <n v="80"/>
    <n v="1"/>
    <n v="18"/>
    <n v="2"/>
    <n v="3"/>
    <n v="5"/>
    <n v="4"/>
    <n v="0"/>
    <n v="2"/>
  </r>
  <r>
    <n v="32"/>
    <x v="2"/>
    <x v="1"/>
    <s v="Travel_Rarely"/>
    <n v="638"/>
    <x v="1"/>
    <n v="8"/>
    <n v="2"/>
    <x v="2"/>
    <n v="1"/>
    <n v="865"/>
    <n v="3"/>
    <x v="0"/>
    <n v="91"/>
    <n v="4"/>
    <n v="2"/>
    <x v="1"/>
    <n v="3"/>
    <x v="1"/>
    <n v="5175"/>
    <n v="22162"/>
    <n v="5"/>
    <s v="Y"/>
    <s v="No"/>
    <n v="12"/>
    <n v="3"/>
    <n v="3"/>
    <n v="80"/>
    <n v="1"/>
    <n v="9"/>
    <n v="3"/>
    <n v="2"/>
    <n v="5"/>
    <n v="3"/>
    <n v="1"/>
    <n v="3"/>
  </r>
  <r>
    <n v="52"/>
    <x v="1"/>
    <x v="1"/>
    <s v="Travel_Frequently"/>
    <n v="890"/>
    <x v="1"/>
    <n v="25"/>
    <n v="4"/>
    <x v="2"/>
    <n v="1"/>
    <n v="867"/>
    <n v="3"/>
    <x v="0"/>
    <n v="81"/>
    <n v="2"/>
    <n v="4"/>
    <x v="3"/>
    <n v="4"/>
    <x v="1"/>
    <n v="13826"/>
    <n v="19028"/>
    <n v="3"/>
    <s v="Y"/>
    <s v="No"/>
    <n v="22"/>
    <n v="4"/>
    <n v="3"/>
    <n v="80"/>
    <n v="0"/>
    <n v="31"/>
    <n v="3"/>
    <n v="3"/>
    <n v="9"/>
    <n v="8"/>
    <n v="0"/>
    <n v="0"/>
  </r>
  <r>
    <n v="37"/>
    <x v="0"/>
    <x v="1"/>
    <s v="Travel_Rarely"/>
    <n v="342"/>
    <x v="0"/>
    <n v="16"/>
    <n v="4"/>
    <x v="3"/>
    <n v="1"/>
    <n v="868"/>
    <n v="4"/>
    <x v="1"/>
    <n v="66"/>
    <n v="2"/>
    <n v="2"/>
    <x v="0"/>
    <n v="3"/>
    <x v="2"/>
    <n v="6334"/>
    <n v="24558"/>
    <n v="4"/>
    <s v="Y"/>
    <s v="No"/>
    <n v="19"/>
    <n v="3"/>
    <n v="4"/>
    <n v="80"/>
    <n v="2"/>
    <n v="9"/>
    <n v="2"/>
    <n v="3"/>
    <n v="1"/>
    <n v="0"/>
    <n v="0"/>
    <n v="0"/>
  </r>
  <r>
    <n v="28"/>
    <x v="2"/>
    <x v="1"/>
    <s v="Travel_Rarely"/>
    <n v="1169"/>
    <x v="2"/>
    <n v="8"/>
    <n v="2"/>
    <x v="2"/>
    <n v="1"/>
    <n v="869"/>
    <n v="2"/>
    <x v="1"/>
    <n v="63"/>
    <n v="2"/>
    <n v="1"/>
    <x v="8"/>
    <n v="4"/>
    <x v="2"/>
    <n v="4936"/>
    <n v="23965"/>
    <n v="1"/>
    <s v="Y"/>
    <s v="No"/>
    <n v="13"/>
    <n v="3"/>
    <n v="4"/>
    <n v="80"/>
    <n v="1"/>
    <n v="6"/>
    <n v="6"/>
    <n v="3"/>
    <n v="5"/>
    <n v="1"/>
    <n v="0"/>
    <n v="4"/>
  </r>
  <r>
    <n v="22"/>
    <x v="3"/>
    <x v="1"/>
    <s v="Travel_Rarely"/>
    <n v="1230"/>
    <x v="1"/>
    <n v="1"/>
    <n v="2"/>
    <x v="0"/>
    <n v="1"/>
    <n v="872"/>
    <n v="4"/>
    <x v="1"/>
    <n v="33"/>
    <n v="2"/>
    <n v="2"/>
    <x v="3"/>
    <n v="4"/>
    <x v="1"/>
    <n v="4775"/>
    <n v="19146"/>
    <n v="6"/>
    <s v="Y"/>
    <s v="No"/>
    <n v="22"/>
    <n v="4"/>
    <n v="1"/>
    <n v="80"/>
    <n v="2"/>
    <n v="4"/>
    <n v="2"/>
    <n v="1"/>
    <n v="2"/>
    <n v="2"/>
    <n v="2"/>
    <n v="2"/>
  </r>
  <r>
    <n v="44"/>
    <x v="0"/>
    <x v="1"/>
    <s v="Travel_Rarely"/>
    <n v="986"/>
    <x v="1"/>
    <n v="8"/>
    <n v="4"/>
    <x v="0"/>
    <n v="1"/>
    <n v="874"/>
    <n v="1"/>
    <x v="1"/>
    <n v="62"/>
    <n v="4"/>
    <n v="1"/>
    <x v="2"/>
    <n v="4"/>
    <x v="1"/>
    <n v="2818"/>
    <n v="5044"/>
    <n v="2"/>
    <s v="Y"/>
    <s v="Yes"/>
    <n v="24"/>
    <n v="4"/>
    <n v="3"/>
    <n v="80"/>
    <n v="1"/>
    <n v="10"/>
    <n v="2"/>
    <n v="2"/>
    <n v="3"/>
    <n v="2"/>
    <n v="0"/>
    <n v="2"/>
  </r>
  <r>
    <n v="42"/>
    <x v="0"/>
    <x v="1"/>
    <s v="Travel_Frequently"/>
    <n v="1271"/>
    <x v="1"/>
    <n v="2"/>
    <n v="1"/>
    <x v="2"/>
    <n v="1"/>
    <n v="875"/>
    <n v="2"/>
    <x v="1"/>
    <n v="35"/>
    <n v="3"/>
    <n v="1"/>
    <x v="1"/>
    <n v="4"/>
    <x v="0"/>
    <n v="2515"/>
    <n v="9068"/>
    <n v="5"/>
    <s v="Y"/>
    <s v="Yes"/>
    <n v="14"/>
    <n v="3"/>
    <n v="4"/>
    <n v="80"/>
    <n v="0"/>
    <n v="8"/>
    <n v="2"/>
    <n v="3"/>
    <n v="2"/>
    <n v="1"/>
    <n v="2"/>
    <n v="2"/>
  </r>
  <r>
    <n v="36"/>
    <x v="0"/>
    <x v="1"/>
    <s v="Travel_Rarely"/>
    <n v="1278"/>
    <x v="2"/>
    <n v="8"/>
    <n v="3"/>
    <x v="0"/>
    <n v="1"/>
    <n v="878"/>
    <n v="1"/>
    <x v="1"/>
    <n v="77"/>
    <n v="2"/>
    <n v="1"/>
    <x v="8"/>
    <n v="1"/>
    <x v="1"/>
    <n v="2342"/>
    <n v="8635"/>
    <n v="0"/>
    <s v="Y"/>
    <s v="No"/>
    <n v="21"/>
    <n v="4"/>
    <n v="3"/>
    <n v="80"/>
    <n v="0"/>
    <n v="6"/>
    <n v="3"/>
    <n v="3"/>
    <n v="5"/>
    <n v="4"/>
    <n v="0"/>
    <n v="3"/>
  </r>
  <r>
    <n v="25"/>
    <x v="3"/>
    <x v="1"/>
    <s v="Travel_Rarely"/>
    <n v="141"/>
    <x v="0"/>
    <n v="3"/>
    <n v="1"/>
    <x v="1"/>
    <n v="1"/>
    <n v="879"/>
    <n v="3"/>
    <x v="1"/>
    <n v="98"/>
    <n v="3"/>
    <n v="2"/>
    <x v="0"/>
    <n v="1"/>
    <x v="1"/>
    <n v="4194"/>
    <n v="14363"/>
    <n v="1"/>
    <s v="Y"/>
    <s v="Yes"/>
    <n v="18"/>
    <n v="3"/>
    <n v="4"/>
    <n v="80"/>
    <n v="0"/>
    <n v="5"/>
    <n v="3"/>
    <n v="3"/>
    <n v="5"/>
    <n v="3"/>
    <n v="0"/>
    <n v="3"/>
  </r>
  <r>
    <n v="35"/>
    <x v="2"/>
    <x v="1"/>
    <s v="Travel_Rarely"/>
    <n v="607"/>
    <x v="1"/>
    <n v="9"/>
    <n v="3"/>
    <x v="0"/>
    <n v="1"/>
    <n v="880"/>
    <n v="4"/>
    <x v="0"/>
    <n v="66"/>
    <n v="2"/>
    <n v="3"/>
    <x v="3"/>
    <n v="3"/>
    <x v="1"/>
    <n v="10685"/>
    <n v="23457"/>
    <n v="1"/>
    <s v="Y"/>
    <s v="Yes"/>
    <n v="20"/>
    <n v="4"/>
    <n v="2"/>
    <n v="80"/>
    <n v="1"/>
    <n v="17"/>
    <n v="2"/>
    <n v="3"/>
    <n v="17"/>
    <n v="14"/>
    <n v="5"/>
    <n v="15"/>
  </r>
  <r>
    <n v="35"/>
    <x v="2"/>
    <x v="0"/>
    <s v="Travel_Frequently"/>
    <n v="130"/>
    <x v="1"/>
    <n v="25"/>
    <n v="4"/>
    <x v="0"/>
    <n v="1"/>
    <n v="881"/>
    <n v="4"/>
    <x v="0"/>
    <n v="96"/>
    <n v="3"/>
    <n v="1"/>
    <x v="1"/>
    <n v="2"/>
    <x v="2"/>
    <n v="2022"/>
    <n v="16612"/>
    <n v="1"/>
    <s v="Y"/>
    <s v="Yes"/>
    <n v="19"/>
    <n v="3"/>
    <n v="1"/>
    <n v="80"/>
    <n v="1"/>
    <n v="10"/>
    <n v="3"/>
    <n v="2"/>
    <n v="10"/>
    <n v="2"/>
    <n v="7"/>
    <n v="8"/>
  </r>
  <r>
    <n v="32"/>
    <x v="2"/>
    <x v="1"/>
    <s v="Non-Travel"/>
    <n v="300"/>
    <x v="1"/>
    <n v="1"/>
    <n v="3"/>
    <x v="0"/>
    <n v="1"/>
    <n v="882"/>
    <n v="4"/>
    <x v="1"/>
    <n v="61"/>
    <n v="3"/>
    <n v="1"/>
    <x v="2"/>
    <n v="4"/>
    <x v="2"/>
    <n v="2314"/>
    <n v="9148"/>
    <n v="0"/>
    <s v="Y"/>
    <s v="No"/>
    <n v="12"/>
    <n v="3"/>
    <n v="2"/>
    <n v="80"/>
    <n v="1"/>
    <n v="4"/>
    <n v="2"/>
    <n v="3"/>
    <n v="3"/>
    <n v="0"/>
    <n v="0"/>
    <n v="2"/>
  </r>
  <r>
    <n v="25"/>
    <x v="3"/>
    <x v="1"/>
    <s v="Travel_Rarely"/>
    <n v="583"/>
    <x v="0"/>
    <n v="4"/>
    <n v="1"/>
    <x v="3"/>
    <n v="1"/>
    <n v="885"/>
    <n v="3"/>
    <x v="1"/>
    <n v="87"/>
    <n v="2"/>
    <n v="2"/>
    <x v="0"/>
    <n v="1"/>
    <x v="1"/>
    <n v="4256"/>
    <n v="18154"/>
    <n v="1"/>
    <s v="Y"/>
    <s v="No"/>
    <n v="12"/>
    <n v="3"/>
    <n v="1"/>
    <n v="80"/>
    <n v="0"/>
    <n v="5"/>
    <n v="1"/>
    <n v="4"/>
    <n v="5"/>
    <n v="2"/>
    <n v="0"/>
    <n v="3"/>
  </r>
  <r>
    <n v="49"/>
    <x v="1"/>
    <x v="1"/>
    <s v="Travel_Rarely"/>
    <n v="1418"/>
    <x v="1"/>
    <n v="1"/>
    <n v="3"/>
    <x v="4"/>
    <n v="1"/>
    <n v="887"/>
    <n v="3"/>
    <x v="0"/>
    <n v="36"/>
    <n v="3"/>
    <n v="1"/>
    <x v="1"/>
    <n v="1"/>
    <x v="1"/>
    <n v="3580"/>
    <n v="10554"/>
    <n v="2"/>
    <s v="Y"/>
    <s v="No"/>
    <n v="16"/>
    <n v="3"/>
    <n v="2"/>
    <n v="80"/>
    <n v="1"/>
    <n v="7"/>
    <n v="2"/>
    <n v="3"/>
    <n v="4"/>
    <n v="2"/>
    <n v="0"/>
    <n v="2"/>
  </r>
  <r>
    <n v="24"/>
    <x v="3"/>
    <x v="1"/>
    <s v="Non-Travel"/>
    <n v="1269"/>
    <x v="1"/>
    <n v="4"/>
    <n v="1"/>
    <x v="0"/>
    <n v="1"/>
    <n v="888"/>
    <n v="1"/>
    <x v="1"/>
    <n v="46"/>
    <n v="2"/>
    <n v="1"/>
    <x v="2"/>
    <n v="4"/>
    <x v="1"/>
    <n v="3162"/>
    <n v="10778"/>
    <n v="0"/>
    <s v="Y"/>
    <s v="No"/>
    <n v="17"/>
    <n v="3"/>
    <n v="4"/>
    <n v="80"/>
    <n v="0"/>
    <n v="6"/>
    <n v="2"/>
    <n v="2"/>
    <n v="5"/>
    <n v="2"/>
    <n v="3"/>
    <n v="4"/>
  </r>
  <r>
    <n v="32"/>
    <x v="2"/>
    <x v="1"/>
    <s v="Travel_Frequently"/>
    <n v="379"/>
    <x v="0"/>
    <n v="5"/>
    <n v="2"/>
    <x v="0"/>
    <n v="1"/>
    <n v="889"/>
    <n v="2"/>
    <x v="1"/>
    <n v="48"/>
    <n v="3"/>
    <n v="2"/>
    <x v="0"/>
    <n v="2"/>
    <x v="1"/>
    <n v="6524"/>
    <n v="8891"/>
    <n v="1"/>
    <s v="Y"/>
    <s v="No"/>
    <n v="14"/>
    <n v="3"/>
    <n v="4"/>
    <n v="80"/>
    <n v="1"/>
    <n v="10"/>
    <n v="3"/>
    <n v="3"/>
    <n v="10"/>
    <n v="8"/>
    <n v="5"/>
    <n v="3"/>
  </r>
  <r>
    <n v="38"/>
    <x v="0"/>
    <x v="1"/>
    <s v="Travel_Rarely"/>
    <n v="395"/>
    <x v="0"/>
    <n v="9"/>
    <n v="3"/>
    <x v="3"/>
    <n v="1"/>
    <n v="893"/>
    <n v="2"/>
    <x v="1"/>
    <n v="98"/>
    <n v="2"/>
    <n v="1"/>
    <x v="6"/>
    <n v="2"/>
    <x v="1"/>
    <n v="2899"/>
    <n v="12102"/>
    <n v="0"/>
    <s v="Y"/>
    <s v="No"/>
    <n v="19"/>
    <n v="3"/>
    <n v="4"/>
    <n v="80"/>
    <n v="1"/>
    <n v="3"/>
    <n v="3"/>
    <n v="3"/>
    <n v="2"/>
    <n v="2"/>
    <n v="1"/>
    <n v="2"/>
  </r>
  <r>
    <n v="42"/>
    <x v="0"/>
    <x v="1"/>
    <s v="Travel_Rarely"/>
    <n v="1265"/>
    <x v="1"/>
    <n v="3"/>
    <n v="3"/>
    <x v="0"/>
    <n v="1"/>
    <n v="894"/>
    <n v="3"/>
    <x v="0"/>
    <n v="95"/>
    <n v="4"/>
    <n v="2"/>
    <x v="2"/>
    <n v="4"/>
    <x v="1"/>
    <n v="5231"/>
    <n v="23726"/>
    <n v="2"/>
    <s v="Y"/>
    <s v="Yes"/>
    <n v="13"/>
    <n v="3"/>
    <n v="2"/>
    <n v="80"/>
    <n v="1"/>
    <n v="17"/>
    <n v="1"/>
    <n v="2"/>
    <n v="5"/>
    <n v="3"/>
    <n v="1"/>
    <n v="3"/>
  </r>
  <r>
    <n v="31"/>
    <x v="2"/>
    <x v="1"/>
    <s v="Travel_Rarely"/>
    <n v="1222"/>
    <x v="1"/>
    <n v="11"/>
    <n v="4"/>
    <x v="0"/>
    <n v="1"/>
    <n v="895"/>
    <n v="4"/>
    <x v="1"/>
    <n v="48"/>
    <n v="3"/>
    <n v="1"/>
    <x v="1"/>
    <n v="4"/>
    <x v="1"/>
    <n v="2356"/>
    <n v="14871"/>
    <n v="3"/>
    <s v="Y"/>
    <s v="Yes"/>
    <n v="19"/>
    <n v="3"/>
    <n v="2"/>
    <n v="80"/>
    <n v="1"/>
    <n v="8"/>
    <n v="2"/>
    <n v="3"/>
    <n v="6"/>
    <n v="4"/>
    <n v="0"/>
    <n v="2"/>
  </r>
  <r>
    <n v="29"/>
    <x v="2"/>
    <x v="0"/>
    <s v="Travel_Rarely"/>
    <n v="341"/>
    <x v="0"/>
    <n v="1"/>
    <n v="3"/>
    <x v="2"/>
    <n v="1"/>
    <n v="896"/>
    <n v="2"/>
    <x v="0"/>
    <n v="48"/>
    <n v="2"/>
    <n v="1"/>
    <x v="6"/>
    <n v="3"/>
    <x v="2"/>
    <n v="2800"/>
    <n v="23522"/>
    <n v="6"/>
    <s v="Y"/>
    <s v="Yes"/>
    <n v="19"/>
    <n v="3"/>
    <n v="3"/>
    <n v="80"/>
    <n v="3"/>
    <n v="5"/>
    <n v="3"/>
    <n v="3"/>
    <n v="3"/>
    <n v="2"/>
    <n v="0"/>
    <n v="2"/>
  </r>
  <r>
    <n v="53"/>
    <x v="1"/>
    <x v="1"/>
    <s v="Travel_Rarely"/>
    <n v="868"/>
    <x v="0"/>
    <n v="8"/>
    <n v="3"/>
    <x v="3"/>
    <n v="1"/>
    <n v="897"/>
    <n v="1"/>
    <x v="1"/>
    <n v="73"/>
    <n v="3"/>
    <n v="4"/>
    <x v="0"/>
    <n v="4"/>
    <x v="1"/>
    <n v="11836"/>
    <n v="22789"/>
    <n v="5"/>
    <s v="Y"/>
    <s v="No"/>
    <n v="14"/>
    <n v="3"/>
    <n v="3"/>
    <n v="80"/>
    <n v="1"/>
    <n v="28"/>
    <n v="3"/>
    <n v="3"/>
    <n v="2"/>
    <n v="0"/>
    <n v="2"/>
    <n v="2"/>
  </r>
  <r>
    <n v="35"/>
    <x v="2"/>
    <x v="1"/>
    <s v="Travel_Rarely"/>
    <n v="672"/>
    <x v="1"/>
    <n v="25"/>
    <n v="3"/>
    <x v="4"/>
    <n v="1"/>
    <n v="899"/>
    <n v="4"/>
    <x v="1"/>
    <n v="78"/>
    <n v="2"/>
    <n v="3"/>
    <x v="3"/>
    <n v="2"/>
    <x v="1"/>
    <n v="10903"/>
    <n v="9129"/>
    <n v="3"/>
    <s v="Y"/>
    <s v="No"/>
    <n v="16"/>
    <n v="3"/>
    <n v="1"/>
    <n v="80"/>
    <n v="0"/>
    <n v="16"/>
    <n v="2"/>
    <n v="3"/>
    <n v="13"/>
    <n v="10"/>
    <n v="4"/>
    <n v="8"/>
  </r>
  <r>
    <n v="37"/>
    <x v="0"/>
    <x v="1"/>
    <s v="Travel_Frequently"/>
    <n v="1231"/>
    <x v="0"/>
    <n v="21"/>
    <n v="2"/>
    <x v="2"/>
    <n v="1"/>
    <n v="900"/>
    <n v="3"/>
    <x v="0"/>
    <n v="54"/>
    <n v="3"/>
    <n v="1"/>
    <x v="6"/>
    <n v="4"/>
    <x v="1"/>
    <n v="2973"/>
    <n v="21222"/>
    <n v="5"/>
    <s v="Y"/>
    <s v="No"/>
    <n v="15"/>
    <n v="3"/>
    <n v="2"/>
    <n v="80"/>
    <n v="1"/>
    <n v="10"/>
    <n v="3"/>
    <n v="3"/>
    <n v="5"/>
    <n v="4"/>
    <n v="0"/>
    <n v="0"/>
  </r>
  <r>
    <n v="53"/>
    <x v="1"/>
    <x v="1"/>
    <s v="Travel_Rarely"/>
    <n v="102"/>
    <x v="1"/>
    <n v="23"/>
    <n v="4"/>
    <x v="0"/>
    <n v="1"/>
    <n v="901"/>
    <n v="4"/>
    <x v="0"/>
    <n v="72"/>
    <n v="3"/>
    <n v="4"/>
    <x v="7"/>
    <n v="4"/>
    <x v="0"/>
    <n v="14275"/>
    <n v="20206"/>
    <n v="6"/>
    <s v="Y"/>
    <s v="No"/>
    <n v="18"/>
    <n v="3"/>
    <n v="3"/>
    <n v="80"/>
    <n v="0"/>
    <n v="33"/>
    <n v="0"/>
    <n v="3"/>
    <n v="12"/>
    <n v="9"/>
    <n v="3"/>
    <n v="8"/>
  </r>
  <r>
    <n v="43"/>
    <x v="0"/>
    <x v="1"/>
    <s v="Travel_Frequently"/>
    <n v="422"/>
    <x v="1"/>
    <n v="1"/>
    <n v="3"/>
    <x v="0"/>
    <n v="1"/>
    <n v="902"/>
    <n v="4"/>
    <x v="0"/>
    <n v="33"/>
    <n v="3"/>
    <n v="2"/>
    <x v="4"/>
    <n v="4"/>
    <x v="1"/>
    <n v="5562"/>
    <n v="21782"/>
    <n v="4"/>
    <s v="Y"/>
    <s v="No"/>
    <n v="13"/>
    <n v="3"/>
    <n v="2"/>
    <n v="80"/>
    <n v="1"/>
    <n v="12"/>
    <n v="2"/>
    <n v="2"/>
    <n v="5"/>
    <n v="2"/>
    <n v="2"/>
    <n v="2"/>
  </r>
  <r>
    <n v="47"/>
    <x v="1"/>
    <x v="1"/>
    <s v="Travel_Rarely"/>
    <n v="249"/>
    <x v="0"/>
    <n v="2"/>
    <n v="2"/>
    <x v="3"/>
    <n v="1"/>
    <n v="903"/>
    <n v="3"/>
    <x v="0"/>
    <n v="35"/>
    <n v="3"/>
    <n v="2"/>
    <x v="0"/>
    <n v="4"/>
    <x v="1"/>
    <n v="4537"/>
    <n v="17783"/>
    <n v="0"/>
    <s v="Y"/>
    <s v="Yes"/>
    <n v="22"/>
    <n v="4"/>
    <n v="1"/>
    <n v="80"/>
    <n v="1"/>
    <n v="8"/>
    <n v="2"/>
    <n v="3"/>
    <n v="7"/>
    <n v="6"/>
    <n v="7"/>
    <n v="7"/>
  </r>
  <r>
    <n v="37"/>
    <x v="0"/>
    <x v="1"/>
    <s v="Non-Travel"/>
    <n v="1252"/>
    <x v="0"/>
    <n v="19"/>
    <n v="2"/>
    <x v="2"/>
    <n v="1"/>
    <n v="904"/>
    <n v="1"/>
    <x v="1"/>
    <n v="32"/>
    <n v="3"/>
    <n v="3"/>
    <x v="0"/>
    <n v="2"/>
    <x v="0"/>
    <n v="7642"/>
    <n v="4814"/>
    <n v="1"/>
    <s v="Y"/>
    <s v="Yes"/>
    <n v="13"/>
    <n v="3"/>
    <n v="4"/>
    <n v="80"/>
    <n v="0"/>
    <n v="10"/>
    <n v="2"/>
    <n v="3"/>
    <n v="10"/>
    <n v="0"/>
    <n v="0"/>
    <n v="9"/>
  </r>
  <r>
    <n v="50"/>
    <x v="1"/>
    <x v="1"/>
    <s v="Non-Travel"/>
    <n v="881"/>
    <x v="1"/>
    <n v="2"/>
    <n v="4"/>
    <x v="0"/>
    <n v="1"/>
    <n v="905"/>
    <n v="1"/>
    <x v="1"/>
    <n v="98"/>
    <n v="3"/>
    <n v="4"/>
    <x v="5"/>
    <n v="1"/>
    <x v="2"/>
    <n v="17924"/>
    <n v="4544"/>
    <n v="1"/>
    <s v="Y"/>
    <s v="No"/>
    <n v="11"/>
    <n v="3"/>
    <n v="4"/>
    <n v="80"/>
    <n v="1"/>
    <n v="31"/>
    <n v="3"/>
    <n v="3"/>
    <n v="31"/>
    <n v="6"/>
    <n v="14"/>
    <n v="7"/>
  </r>
  <r>
    <n v="39"/>
    <x v="0"/>
    <x v="1"/>
    <s v="Travel_Rarely"/>
    <n v="1383"/>
    <x v="2"/>
    <n v="2"/>
    <n v="3"/>
    <x v="0"/>
    <n v="1"/>
    <n v="909"/>
    <n v="4"/>
    <x v="0"/>
    <n v="42"/>
    <n v="2"/>
    <n v="2"/>
    <x v="8"/>
    <n v="4"/>
    <x v="1"/>
    <n v="5204"/>
    <n v="7790"/>
    <n v="8"/>
    <s v="Y"/>
    <s v="No"/>
    <n v="11"/>
    <n v="3"/>
    <n v="3"/>
    <n v="80"/>
    <n v="2"/>
    <n v="13"/>
    <n v="2"/>
    <n v="3"/>
    <n v="5"/>
    <n v="4"/>
    <n v="0"/>
    <n v="4"/>
  </r>
  <r>
    <n v="33"/>
    <x v="2"/>
    <x v="1"/>
    <s v="Travel_Rarely"/>
    <n v="1075"/>
    <x v="2"/>
    <n v="3"/>
    <n v="2"/>
    <x v="5"/>
    <n v="1"/>
    <n v="910"/>
    <n v="4"/>
    <x v="1"/>
    <n v="57"/>
    <n v="3"/>
    <n v="1"/>
    <x v="8"/>
    <n v="2"/>
    <x v="2"/>
    <n v="2277"/>
    <n v="22650"/>
    <n v="3"/>
    <s v="Y"/>
    <s v="Yes"/>
    <n v="11"/>
    <n v="3"/>
    <n v="3"/>
    <n v="80"/>
    <n v="1"/>
    <n v="7"/>
    <n v="4"/>
    <n v="4"/>
    <n v="4"/>
    <n v="3"/>
    <n v="0"/>
    <n v="3"/>
  </r>
  <r>
    <n v="32"/>
    <x v="2"/>
    <x v="0"/>
    <s v="Travel_Rarely"/>
    <n v="374"/>
    <x v="1"/>
    <n v="25"/>
    <n v="4"/>
    <x v="0"/>
    <n v="1"/>
    <n v="911"/>
    <n v="1"/>
    <x v="1"/>
    <n v="87"/>
    <n v="3"/>
    <n v="1"/>
    <x v="2"/>
    <n v="4"/>
    <x v="0"/>
    <n v="2795"/>
    <n v="18016"/>
    <n v="1"/>
    <s v="Y"/>
    <s v="Yes"/>
    <n v="24"/>
    <n v="4"/>
    <n v="3"/>
    <n v="80"/>
    <n v="0"/>
    <n v="1"/>
    <n v="2"/>
    <n v="1"/>
    <n v="1"/>
    <n v="0"/>
    <n v="0"/>
    <n v="1"/>
  </r>
  <r>
    <n v="29"/>
    <x v="2"/>
    <x v="1"/>
    <s v="Travel_Rarely"/>
    <n v="1086"/>
    <x v="1"/>
    <n v="7"/>
    <n v="1"/>
    <x v="2"/>
    <n v="1"/>
    <n v="912"/>
    <n v="1"/>
    <x v="0"/>
    <n v="62"/>
    <n v="2"/>
    <n v="1"/>
    <x v="2"/>
    <n v="4"/>
    <x v="2"/>
    <n v="2532"/>
    <n v="6054"/>
    <n v="6"/>
    <s v="Y"/>
    <s v="No"/>
    <n v="14"/>
    <n v="3"/>
    <n v="3"/>
    <n v="80"/>
    <n v="3"/>
    <n v="8"/>
    <n v="5"/>
    <n v="3"/>
    <n v="4"/>
    <n v="3"/>
    <n v="0"/>
    <n v="3"/>
  </r>
  <r>
    <n v="44"/>
    <x v="0"/>
    <x v="1"/>
    <s v="Travel_Rarely"/>
    <n v="661"/>
    <x v="1"/>
    <n v="9"/>
    <n v="2"/>
    <x v="0"/>
    <n v="1"/>
    <n v="913"/>
    <n v="2"/>
    <x v="1"/>
    <n v="61"/>
    <n v="3"/>
    <n v="1"/>
    <x v="1"/>
    <n v="1"/>
    <x v="1"/>
    <n v="2559"/>
    <n v="7508"/>
    <n v="1"/>
    <s v="Y"/>
    <s v="Yes"/>
    <n v="13"/>
    <n v="3"/>
    <n v="4"/>
    <n v="80"/>
    <n v="0"/>
    <n v="8"/>
    <n v="0"/>
    <n v="3"/>
    <n v="8"/>
    <n v="7"/>
    <n v="7"/>
    <n v="1"/>
  </r>
  <r>
    <n v="28"/>
    <x v="2"/>
    <x v="1"/>
    <s v="Travel_Rarely"/>
    <n v="821"/>
    <x v="0"/>
    <n v="5"/>
    <n v="4"/>
    <x v="2"/>
    <n v="1"/>
    <n v="916"/>
    <n v="1"/>
    <x v="1"/>
    <n v="98"/>
    <n v="3"/>
    <n v="2"/>
    <x v="0"/>
    <n v="4"/>
    <x v="0"/>
    <n v="4908"/>
    <n v="24252"/>
    <n v="1"/>
    <s v="Y"/>
    <s v="No"/>
    <n v="14"/>
    <n v="3"/>
    <n v="2"/>
    <n v="80"/>
    <n v="0"/>
    <n v="4"/>
    <n v="3"/>
    <n v="3"/>
    <n v="4"/>
    <n v="2"/>
    <n v="0"/>
    <n v="2"/>
  </r>
  <r>
    <n v="58"/>
    <x v="1"/>
    <x v="0"/>
    <s v="Travel_Frequently"/>
    <n v="781"/>
    <x v="1"/>
    <n v="2"/>
    <n v="1"/>
    <x v="0"/>
    <n v="1"/>
    <n v="918"/>
    <n v="4"/>
    <x v="1"/>
    <n v="57"/>
    <n v="2"/>
    <n v="1"/>
    <x v="2"/>
    <n v="4"/>
    <x v="2"/>
    <n v="2380"/>
    <n v="13384"/>
    <n v="9"/>
    <s v="Y"/>
    <s v="Yes"/>
    <n v="14"/>
    <n v="3"/>
    <n v="4"/>
    <n v="80"/>
    <n v="1"/>
    <n v="3"/>
    <n v="3"/>
    <n v="2"/>
    <n v="1"/>
    <n v="0"/>
    <n v="0"/>
    <n v="0"/>
  </r>
  <r>
    <n v="43"/>
    <x v="0"/>
    <x v="1"/>
    <s v="Travel_Rarely"/>
    <n v="177"/>
    <x v="1"/>
    <n v="8"/>
    <n v="3"/>
    <x v="0"/>
    <n v="1"/>
    <n v="920"/>
    <n v="1"/>
    <x v="0"/>
    <n v="55"/>
    <n v="3"/>
    <n v="2"/>
    <x v="3"/>
    <n v="2"/>
    <x v="2"/>
    <n v="4765"/>
    <n v="23814"/>
    <n v="4"/>
    <s v="Y"/>
    <s v="No"/>
    <n v="21"/>
    <n v="4"/>
    <n v="3"/>
    <n v="80"/>
    <n v="1"/>
    <n v="4"/>
    <n v="2"/>
    <n v="4"/>
    <n v="1"/>
    <n v="0"/>
    <n v="0"/>
    <n v="0"/>
  </r>
  <r>
    <n v="20"/>
    <x v="3"/>
    <x v="0"/>
    <s v="Travel_Rarely"/>
    <n v="500"/>
    <x v="0"/>
    <n v="2"/>
    <n v="3"/>
    <x v="2"/>
    <n v="1"/>
    <n v="922"/>
    <n v="3"/>
    <x v="0"/>
    <n v="49"/>
    <n v="2"/>
    <n v="1"/>
    <x v="6"/>
    <n v="3"/>
    <x v="0"/>
    <n v="2044"/>
    <n v="22052"/>
    <n v="1"/>
    <s v="Y"/>
    <s v="No"/>
    <n v="13"/>
    <n v="3"/>
    <n v="4"/>
    <n v="80"/>
    <n v="0"/>
    <n v="2"/>
    <n v="3"/>
    <n v="2"/>
    <n v="2"/>
    <n v="2"/>
    <n v="0"/>
    <n v="2"/>
  </r>
  <r>
    <n v="21"/>
    <x v="3"/>
    <x v="0"/>
    <s v="Travel_Rarely"/>
    <n v="1427"/>
    <x v="1"/>
    <n v="18"/>
    <n v="1"/>
    <x v="1"/>
    <n v="1"/>
    <n v="923"/>
    <n v="4"/>
    <x v="0"/>
    <n v="65"/>
    <n v="3"/>
    <n v="1"/>
    <x v="1"/>
    <n v="4"/>
    <x v="0"/>
    <n v="2693"/>
    <n v="8870"/>
    <n v="1"/>
    <s v="Y"/>
    <s v="No"/>
    <n v="19"/>
    <n v="3"/>
    <n v="1"/>
    <n v="80"/>
    <n v="0"/>
    <n v="1"/>
    <n v="3"/>
    <n v="2"/>
    <n v="1"/>
    <n v="0"/>
    <n v="0"/>
    <n v="0"/>
  </r>
  <r>
    <n v="36"/>
    <x v="0"/>
    <x v="1"/>
    <s v="Travel_Rarely"/>
    <n v="1425"/>
    <x v="1"/>
    <n v="14"/>
    <n v="1"/>
    <x v="0"/>
    <n v="1"/>
    <n v="924"/>
    <n v="3"/>
    <x v="1"/>
    <n v="68"/>
    <n v="3"/>
    <n v="2"/>
    <x v="4"/>
    <n v="4"/>
    <x v="1"/>
    <n v="6586"/>
    <n v="4821"/>
    <n v="0"/>
    <s v="Y"/>
    <s v="Yes"/>
    <n v="17"/>
    <n v="3"/>
    <n v="1"/>
    <n v="80"/>
    <n v="1"/>
    <n v="17"/>
    <n v="2"/>
    <n v="2"/>
    <n v="16"/>
    <n v="8"/>
    <n v="4"/>
    <n v="11"/>
  </r>
  <r>
    <n v="47"/>
    <x v="1"/>
    <x v="1"/>
    <s v="Travel_Rarely"/>
    <n v="1454"/>
    <x v="0"/>
    <n v="2"/>
    <n v="4"/>
    <x v="0"/>
    <n v="1"/>
    <n v="925"/>
    <n v="4"/>
    <x v="0"/>
    <n v="65"/>
    <n v="2"/>
    <n v="1"/>
    <x v="6"/>
    <n v="4"/>
    <x v="0"/>
    <n v="3294"/>
    <n v="13137"/>
    <n v="1"/>
    <s v="Y"/>
    <s v="Yes"/>
    <n v="18"/>
    <n v="3"/>
    <n v="1"/>
    <n v="80"/>
    <n v="0"/>
    <n v="3"/>
    <n v="3"/>
    <n v="2"/>
    <n v="3"/>
    <n v="2"/>
    <n v="1"/>
    <n v="2"/>
  </r>
  <r>
    <n v="22"/>
    <x v="3"/>
    <x v="0"/>
    <s v="Travel_Rarely"/>
    <n v="617"/>
    <x v="1"/>
    <n v="3"/>
    <n v="1"/>
    <x v="0"/>
    <n v="1"/>
    <n v="926"/>
    <n v="2"/>
    <x v="0"/>
    <n v="34"/>
    <n v="3"/>
    <n v="2"/>
    <x v="3"/>
    <n v="3"/>
    <x v="1"/>
    <n v="4171"/>
    <n v="10022"/>
    <n v="0"/>
    <s v="Y"/>
    <s v="Yes"/>
    <n v="19"/>
    <n v="3"/>
    <n v="1"/>
    <n v="80"/>
    <n v="1"/>
    <n v="4"/>
    <n v="3"/>
    <n v="4"/>
    <n v="3"/>
    <n v="2"/>
    <n v="0"/>
    <n v="2"/>
  </r>
  <r>
    <n v="41"/>
    <x v="0"/>
    <x v="0"/>
    <s v="Travel_Rarely"/>
    <n v="1085"/>
    <x v="1"/>
    <n v="2"/>
    <n v="4"/>
    <x v="0"/>
    <n v="1"/>
    <n v="927"/>
    <n v="2"/>
    <x v="0"/>
    <n v="57"/>
    <n v="1"/>
    <n v="1"/>
    <x v="2"/>
    <n v="4"/>
    <x v="2"/>
    <n v="2778"/>
    <n v="17725"/>
    <n v="4"/>
    <s v="Y"/>
    <s v="Yes"/>
    <n v="13"/>
    <n v="3"/>
    <n v="3"/>
    <n v="80"/>
    <n v="1"/>
    <n v="10"/>
    <n v="1"/>
    <n v="2"/>
    <n v="7"/>
    <n v="7"/>
    <n v="1"/>
    <n v="0"/>
  </r>
  <r>
    <n v="28"/>
    <x v="2"/>
    <x v="1"/>
    <s v="Travel_Rarely"/>
    <n v="995"/>
    <x v="1"/>
    <n v="9"/>
    <n v="3"/>
    <x v="2"/>
    <n v="1"/>
    <n v="930"/>
    <n v="3"/>
    <x v="0"/>
    <n v="77"/>
    <n v="3"/>
    <n v="1"/>
    <x v="1"/>
    <n v="3"/>
    <x v="2"/>
    <n v="2377"/>
    <n v="9834"/>
    <n v="5"/>
    <s v="Y"/>
    <s v="No"/>
    <n v="18"/>
    <n v="3"/>
    <n v="2"/>
    <n v="80"/>
    <n v="1"/>
    <n v="6"/>
    <n v="2"/>
    <n v="3"/>
    <n v="2"/>
    <n v="2"/>
    <n v="2"/>
    <n v="2"/>
  </r>
  <r>
    <n v="39"/>
    <x v="0"/>
    <x v="0"/>
    <s v="Travel_Rarely"/>
    <n v="1122"/>
    <x v="1"/>
    <n v="6"/>
    <n v="3"/>
    <x v="2"/>
    <n v="1"/>
    <n v="932"/>
    <n v="4"/>
    <x v="1"/>
    <n v="70"/>
    <n v="3"/>
    <n v="1"/>
    <x v="2"/>
    <n v="1"/>
    <x v="1"/>
    <n v="2404"/>
    <n v="4303"/>
    <n v="7"/>
    <s v="Y"/>
    <s v="Yes"/>
    <n v="21"/>
    <n v="4"/>
    <n v="4"/>
    <n v="80"/>
    <n v="0"/>
    <n v="8"/>
    <n v="2"/>
    <n v="1"/>
    <n v="2"/>
    <n v="2"/>
    <n v="2"/>
    <n v="2"/>
  </r>
  <r>
    <n v="27"/>
    <x v="2"/>
    <x v="1"/>
    <s v="Travel_Rarely"/>
    <n v="618"/>
    <x v="1"/>
    <n v="4"/>
    <n v="3"/>
    <x v="0"/>
    <n v="1"/>
    <n v="933"/>
    <n v="2"/>
    <x v="0"/>
    <n v="76"/>
    <n v="3"/>
    <n v="1"/>
    <x v="1"/>
    <n v="3"/>
    <x v="0"/>
    <n v="2318"/>
    <n v="17808"/>
    <n v="1"/>
    <s v="Y"/>
    <s v="No"/>
    <n v="19"/>
    <n v="3"/>
    <n v="3"/>
    <n v="80"/>
    <n v="0"/>
    <n v="1"/>
    <n v="2"/>
    <n v="3"/>
    <n v="1"/>
    <n v="1"/>
    <n v="0"/>
    <n v="0"/>
  </r>
  <r>
    <n v="34"/>
    <x v="2"/>
    <x v="1"/>
    <s v="Travel_Rarely"/>
    <n v="546"/>
    <x v="1"/>
    <n v="10"/>
    <n v="3"/>
    <x v="0"/>
    <n v="1"/>
    <n v="934"/>
    <n v="2"/>
    <x v="1"/>
    <n v="83"/>
    <n v="3"/>
    <n v="1"/>
    <x v="2"/>
    <n v="2"/>
    <x v="2"/>
    <n v="2008"/>
    <n v="6896"/>
    <n v="1"/>
    <s v="Y"/>
    <s v="No"/>
    <n v="14"/>
    <n v="3"/>
    <n v="2"/>
    <n v="80"/>
    <n v="2"/>
    <n v="1"/>
    <n v="3"/>
    <n v="3"/>
    <n v="1"/>
    <n v="0"/>
    <n v="1"/>
    <n v="0"/>
  </r>
  <r>
    <n v="42"/>
    <x v="0"/>
    <x v="1"/>
    <s v="Travel_Rarely"/>
    <n v="462"/>
    <x v="0"/>
    <n v="14"/>
    <n v="2"/>
    <x v="2"/>
    <n v="1"/>
    <n v="936"/>
    <n v="3"/>
    <x v="0"/>
    <n v="68"/>
    <n v="2"/>
    <n v="2"/>
    <x v="0"/>
    <n v="3"/>
    <x v="0"/>
    <n v="6244"/>
    <n v="7824"/>
    <n v="7"/>
    <s v="Y"/>
    <s v="No"/>
    <n v="17"/>
    <n v="3"/>
    <n v="1"/>
    <n v="80"/>
    <n v="0"/>
    <n v="10"/>
    <n v="6"/>
    <n v="3"/>
    <n v="5"/>
    <n v="4"/>
    <n v="0"/>
    <n v="3"/>
  </r>
  <r>
    <n v="33"/>
    <x v="2"/>
    <x v="1"/>
    <s v="Travel_Rarely"/>
    <n v="1198"/>
    <x v="1"/>
    <n v="1"/>
    <n v="4"/>
    <x v="1"/>
    <n v="1"/>
    <n v="939"/>
    <n v="3"/>
    <x v="1"/>
    <n v="100"/>
    <n v="2"/>
    <n v="1"/>
    <x v="1"/>
    <n v="1"/>
    <x v="0"/>
    <n v="2799"/>
    <n v="3339"/>
    <n v="3"/>
    <s v="Y"/>
    <s v="Yes"/>
    <n v="11"/>
    <n v="3"/>
    <n v="2"/>
    <n v="80"/>
    <n v="0"/>
    <n v="6"/>
    <n v="1"/>
    <n v="3"/>
    <n v="3"/>
    <n v="2"/>
    <n v="0"/>
    <n v="2"/>
  </r>
  <r>
    <n v="58"/>
    <x v="1"/>
    <x v="1"/>
    <s v="Travel_Rarely"/>
    <n v="1272"/>
    <x v="1"/>
    <n v="5"/>
    <n v="3"/>
    <x v="4"/>
    <n v="1"/>
    <n v="940"/>
    <n v="3"/>
    <x v="0"/>
    <n v="37"/>
    <n v="2"/>
    <n v="3"/>
    <x v="4"/>
    <n v="2"/>
    <x v="2"/>
    <n v="10552"/>
    <n v="9255"/>
    <n v="2"/>
    <s v="Y"/>
    <s v="Yes"/>
    <n v="13"/>
    <n v="3"/>
    <n v="4"/>
    <n v="80"/>
    <n v="1"/>
    <n v="24"/>
    <n v="3"/>
    <n v="3"/>
    <n v="6"/>
    <n v="0"/>
    <n v="0"/>
    <n v="4"/>
  </r>
  <r>
    <n v="31"/>
    <x v="2"/>
    <x v="1"/>
    <s v="Travel_Rarely"/>
    <n v="154"/>
    <x v="0"/>
    <n v="7"/>
    <n v="4"/>
    <x v="0"/>
    <n v="1"/>
    <n v="941"/>
    <n v="2"/>
    <x v="1"/>
    <n v="41"/>
    <n v="2"/>
    <n v="1"/>
    <x v="6"/>
    <n v="3"/>
    <x v="1"/>
    <n v="2329"/>
    <n v="11737"/>
    <n v="3"/>
    <s v="Y"/>
    <s v="No"/>
    <n v="15"/>
    <n v="3"/>
    <n v="2"/>
    <n v="80"/>
    <n v="0"/>
    <n v="13"/>
    <n v="2"/>
    <n v="4"/>
    <n v="7"/>
    <n v="7"/>
    <n v="5"/>
    <n v="2"/>
  </r>
  <r>
    <n v="35"/>
    <x v="2"/>
    <x v="1"/>
    <s v="Travel_Rarely"/>
    <n v="1137"/>
    <x v="1"/>
    <n v="21"/>
    <n v="1"/>
    <x v="0"/>
    <n v="1"/>
    <n v="942"/>
    <n v="4"/>
    <x v="0"/>
    <n v="51"/>
    <n v="3"/>
    <n v="2"/>
    <x v="4"/>
    <n v="4"/>
    <x v="1"/>
    <n v="4014"/>
    <n v="19170"/>
    <n v="1"/>
    <s v="Y"/>
    <s v="Yes"/>
    <n v="25"/>
    <n v="4"/>
    <n v="4"/>
    <n v="80"/>
    <n v="1"/>
    <n v="10"/>
    <n v="2"/>
    <n v="1"/>
    <n v="10"/>
    <n v="6"/>
    <n v="0"/>
    <n v="7"/>
  </r>
  <r>
    <n v="49"/>
    <x v="1"/>
    <x v="1"/>
    <s v="Travel_Rarely"/>
    <n v="527"/>
    <x v="1"/>
    <n v="8"/>
    <n v="2"/>
    <x v="1"/>
    <n v="1"/>
    <n v="944"/>
    <n v="1"/>
    <x v="0"/>
    <n v="51"/>
    <n v="3"/>
    <n v="3"/>
    <x v="2"/>
    <n v="2"/>
    <x v="1"/>
    <n v="7403"/>
    <n v="22477"/>
    <n v="4"/>
    <s v="Y"/>
    <s v="No"/>
    <n v="11"/>
    <n v="3"/>
    <n v="3"/>
    <n v="80"/>
    <n v="1"/>
    <n v="29"/>
    <n v="3"/>
    <n v="2"/>
    <n v="26"/>
    <n v="9"/>
    <n v="1"/>
    <n v="7"/>
  </r>
  <r>
    <n v="48"/>
    <x v="1"/>
    <x v="1"/>
    <s v="Travel_Rarely"/>
    <n v="1469"/>
    <x v="1"/>
    <n v="20"/>
    <n v="4"/>
    <x v="2"/>
    <n v="1"/>
    <n v="945"/>
    <n v="4"/>
    <x v="1"/>
    <n v="51"/>
    <n v="3"/>
    <n v="1"/>
    <x v="1"/>
    <n v="3"/>
    <x v="1"/>
    <n v="2259"/>
    <n v="5543"/>
    <n v="4"/>
    <s v="Y"/>
    <s v="No"/>
    <n v="17"/>
    <n v="3"/>
    <n v="1"/>
    <n v="80"/>
    <n v="2"/>
    <n v="13"/>
    <n v="2"/>
    <n v="2"/>
    <n v="0"/>
    <n v="0"/>
    <n v="0"/>
    <n v="0"/>
  </r>
  <r>
    <n v="31"/>
    <x v="2"/>
    <x v="1"/>
    <s v="Non-Travel"/>
    <n v="1188"/>
    <x v="0"/>
    <n v="20"/>
    <n v="2"/>
    <x v="3"/>
    <n v="1"/>
    <n v="947"/>
    <n v="4"/>
    <x v="0"/>
    <n v="45"/>
    <n v="3"/>
    <n v="2"/>
    <x v="0"/>
    <n v="3"/>
    <x v="1"/>
    <n v="6932"/>
    <n v="24406"/>
    <n v="1"/>
    <s v="Y"/>
    <s v="No"/>
    <n v="13"/>
    <n v="3"/>
    <n v="4"/>
    <n v="80"/>
    <n v="1"/>
    <n v="9"/>
    <n v="2"/>
    <n v="2"/>
    <n v="9"/>
    <n v="8"/>
    <n v="0"/>
    <n v="0"/>
  </r>
  <r>
    <n v="36"/>
    <x v="0"/>
    <x v="1"/>
    <s v="Travel_Rarely"/>
    <n v="188"/>
    <x v="1"/>
    <n v="7"/>
    <n v="4"/>
    <x v="1"/>
    <n v="1"/>
    <n v="949"/>
    <n v="2"/>
    <x v="1"/>
    <n v="65"/>
    <n v="3"/>
    <n v="1"/>
    <x v="1"/>
    <n v="4"/>
    <x v="0"/>
    <n v="4678"/>
    <n v="23293"/>
    <n v="2"/>
    <s v="Y"/>
    <s v="No"/>
    <n v="18"/>
    <n v="3"/>
    <n v="3"/>
    <n v="80"/>
    <n v="0"/>
    <n v="8"/>
    <n v="6"/>
    <n v="3"/>
    <n v="6"/>
    <n v="2"/>
    <n v="0"/>
    <n v="1"/>
  </r>
  <r>
    <n v="38"/>
    <x v="0"/>
    <x v="1"/>
    <s v="Travel_Rarely"/>
    <n v="1333"/>
    <x v="1"/>
    <n v="1"/>
    <n v="3"/>
    <x v="4"/>
    <n v="1"/>
    <n v="950"/>
    <n v="4"/>
    <x v="0"/>
    <n v="80"/>
    <n v="3"/>
    <n v="3"/>
    <x v="7"/>
    <n v="1"/>
    <x v="1"/>
    <n v="13582"/>
    <n v="16292"/>
    <n v="1"/>
    <s v="Y"/>
    <s v="No"/>
    <n v="13"/>
    <n v="3"/>
    <n v="2"/>
    <n v="80"/>
    <n v="1"/>
    <n v="15"/>
    <n v="3"/>
    <n v="3"/>
    <n v="15"/>
    <n v="12"/>
    <n v="5"/>
    <n v="11"/>
  </r>
  <r>
    <n v="32"/>
    <x v="2"/>
    <x v="1"/>
    <s v="Non-Travel"/>
    <n v="1184"/>
    <x v="1"/>
    <n v="1"/>
    <n v="3"/>
    <x v="0"/>
    <n v="1"/>
    <n v="951"/>
    <n v="3"/>
    <x v="0"/>
    <n v="70"/>
    <n v="2"/>
    <n v="1"/>
    <x v="2"/>
    <n v="2"/>
    <x v="1"/>
    <n v="2332"/>
    <n v="3974"/>
    <n v="6"/>
    <s v="Y"/>
    <s v="No"/>
    <n v="20"/>
    <n v="4"/>
    <n v="3"/>
    <n v="80"/>
    <n v="0"/>
    <n v="5"/>
    <n v="3"/>
    <n v="3"/>
    <n v="3"/>
    <n v="0"/>
    <n v="0"/>
    <n v="2"/>
  </r>
  <r>
    <n v="25"/>
    <x v="3"/>
    <x v="0"/>
    <s v="Travel_Rarely"/>
    <n v="867"/>
    <x v="0"/>
    <n v="19"/>
    <n v="2"/>
    <x v="3"/>
    <n v="1"/>
    <n v="952"/>
    <n v="3"/>
    <x v="1"/>
    <n v="36"/>
    <n v="2"/>
    <n v="1"/>
    <x v="6"/>
    <n v="2"/>
    <x v="1"/>
    <n v="2413"/>
    <n v="18798"/>
    <n v="1"/>
    <s v="Y"/>
    <s v="Yes"/>
    <n v="18"/>
    <n v="3"/>
    <n v="3"/>
    <n v="80"/>
    <n v="3"/>
    <n v="1"/>
    <n v="2"/>
    <n v="3"/>
    <n v="1"/>
    <n v="0"/>
    <n v="0"/>
    <n v="0"/>
  </r>
  <r>
    <n v="40"/>
    <x v="0"/>
    <x v="1"/>
    <s v="Travel_Rarely"/>
    <n v="658"/>
    <x v="0"/>
    <n v="10"/>
    <n v="4"/>
    <x v="3"/>
    <n v="1"/>
    <n v="954"/>
    <n v="1"/>
    <x v="1"/>
    <n v="67"/>
    <n v="2"/>
    <n v="3"/>
    <x v="0"/>
    <n v="2"/>
    <x v="2"/>
    <n v="9705"/>
    <n v="20652"/>
    <n v="2"/>
    <s v="Y"/>
    <s v="No"/>
    <n v="12"/>
    <n v="3"/>
    <n v="2"/>
    <n v="80"/>
    <n v="1"/>
    <n v="11"/>
    <n v="2"/>
    <n v="2"/>
    <n v="1"/>
    <n v="0"/>
    <n v="0"/>
    <n v="0"/>
  </r>
  <r>
    <n v="26"/>
    <x v="2"/>
    <x v="1"/>
    <s v="Travel_Frequently"/>
    <n v="1283"/>
    <x v="0"/>
    <n v="1"/>
    <n v="3"/>
    <x v="2"/>
    <n v="1"/>
    <n v="956"/>
    <n v="3"/>
    <x v="1"/>
    <n v="52"/>
    <n v="2"/>
    <n v="2"/>
    <x v="0"/>
    <n v="1"/>
    <x v="0"/>
    <n v="4294"/>
    <n v="11148"/>
    <n v="1"/>
    <s v="Y"/>
    <s v="No"/>
    <n v="12"/>
    <n v="3"/>
    <n v="2"/>
    <n v="80"/>
    <n v="0"/>
    <n v="7"/>
    <n v="2"/>
    <n v="3"/>
    <n v="7"/>
    <n v="7"/>
    <n v="0"/>
    <n v="7"/>
  </r>
  <r>
    <n v="41"/>
    <x v="0"/>
    <x v="1"/>
    <s v="Travel_Rarely"/>
    <n v="263"/>
    <x v="1"/>
    <n v="6"/>
    <n v="3"/>
    <x v="2"/>
    <n v="1"/>
    <n v="957"/>
    <n v="4"/>
    <x v="1"/>
    <n v="59"/>
    <n v="3"/>
    <n v="1"/>
    <x v="2"/>
    <n v="1"/>
    <x v="0"/>
    <n v="4721"/>
    <n v="3119"/>
    <n v="2"/>
    <s v="Y"/>
    <s v="Yes"/>
    <n v="13"/>
    <n v="3"/>
    <n v="3"/>
    <n v="80"/>
    <n v="0"/>
    <n v="20"/>
    <n v="3"/>
    <n v="3"/>
    <n v="18"/>
    <n v="13"/>
    <n v="2"/>
    <n v="17"/>
  </r>
  <r>
    <n v="36"/>
    <x v="0"/>
    <x v="1"/>
    <s v="Travel_Rarely"/>
    <n v="938"/>
    <x v="1"/>
    <n v="2"/>
    <n v="4"/>
    <x v="2"/>
    <n v="1"/>
    <n v="958"/>
    <n v="3"/>
    <x v="1"/>
    <n v="79"/>
    <n v="3"/>
    <n v="1"/>
    <x v="2"/>
    <n v="3"/>
    <x v="0"/>
    <n v="2519"/>
    <n v="12287"/>
    <n v="4"/>
    <s v="Y"/>
    <s v="No"/>
    <n v="21"/>
    <n v="4"/>
    <n v="3"/>
    <n v="80"/>
    <n v="0"/>
    <n v="16"/>
    <n v="6"/>
    <n v="3"/>
    <n v="11"/>
    <n v="8"/>
    <n v="3"/>
    <n v="9"/>
  </r>
  <r>
    <n v="19"/>
    <x v="3"/>
    <x v="0"/>
    <s v="Travel_Rarely"/>
    <n v="419"/>
    <x v="0"/>
    <n v="21"/>
    <n v="3"/>
    <x v="1"/>
    <n v="1"/>
    <n v="959"/>
    <n v="4"/>
    <x v="1"/>
    <n v="37"/>
    <n v="2"/>
    <n v="1"/>
    <x v="6"/>
    <n v="2"/>
    <x v="0"/>
    <n v="2121"/>
    <n v="9947"/>
    <n v="1"/>
    <s v="Y"/>
    <s v="Yes"/>
    <n v="13"/>
    <n v="3"/>
    <n v="2"/>
    <n v="80"/>
    <n v="0"/>
    <n v="1"/>
    <n v="3"/>
    <n v="4"/>
    <n v="1"/>
    <n v="0"/>
    <n v="0"/>
    <n v="0"/>
  </r>
  <r>
    <n v="20"/>
    <x v="3"/>
    <x v="0"/>
    <s v="Travel_Rarely"/>
    <n v="129"/>
    <x v="1"/>
    <n v="4"/>
    <n v="3"/>
    <x v="4"/>
    <n v="1"/>
    <n v="960"/>
    <n v="1"/>
    <x v="1"/>
    <n v="84"/>
    <n v="3"/>
    <n v="1"/>
    <x v="2"/>
    <n v="1"/>
    <x v="0"/>
    <n v="2973"/>
    <n v="13008"/>
    <n v="1"/>
    <s v="Y"/>
    <s v="No"/>
    <n v="19"/>
    <n v="3"/>
    <n v="2"/>
    <n v="80"/>
    <n v="0"/>
    <n v="1"/>
    <n v="2"/>
    <n v="3"/>
    <n v="1"/>
    <n v="0"/>
    <n v="0"/>
    <n v="0"/>
  </r>
  <r>
    <n v="31"/>
    <x v="2"/>
    <x v="1"/>
    <s v="Travel_Rarely"/>
    <n v="616"/>
    <x v="1"/>
    <n v="12"/>
    <n v="3"/>
    <x v="2"/>
    <n v="1"/>
    <n v="961"/>
    <n v="4"/>
    <x v="0"/>
    <n v="41"/>
    <n v="3"/>
    <n v="2"/>
    <x v="4"/>
    <n v="4"/>
    <x v="1"/>
    <n v="5855"/>
    <n v="17369"/>
    <n v="0"/>
    <s v="Y"/>
    <s v="Yes"/>
    <n v="11"/>
    <n v="3"/>
    <n v="3"/>
    <n v="80"/>
    <n v="2"/>
    <n v="10"/>
    <n v="2"/>
    <n v="1"/>
    <n v="9"/>
    <n v="7"/>
    <n v="8"/>
    <n v="5"/>
  </r>
  <r>
    <n v="40"/>
    <x v="0"/>
    <x v="1"/>
    <s v="Travel_Frequently"/>
    <n v="1469"/>
    <x v="1"/>
    <n v="9"/>
    <n v="4"/>
    <x v="2"/>
    <n v="1"/>
    <n v="964"/>
    <n v="4"/>
    <x v="1"/>
    <n v="35"/>
    <n v="3"/>
    <n v="1"/>
    <x v="1"/>
    <n v="2"/>
    <x v="2"/>
    <n v="3617"/>
    <n v="25063"/>
    <n v="8"/>
    <s v="Y"/>
    <s v="Yes"/>
    <n v="14"/>
    <n v="3"/>
    <n v="4"/>
    <n v="80"/>
    <n v="1"/>
    <n v="3"/>
    <n v="2"/>
    <n v="3"/>
    <n v="1"/>
    <n v="1"/>
    <n v="0"/>
    <n v="0"/>
  </r>
  <r>
    <n v="32"/>
    <x v="2"/>
    <x v="1"/>
    <s v="Travel_Rarely"/>
    <n v="498"/>
    <x v="1"/>
    <n v="3"/>
    <n v="4"/>
    <x v="2"/>
    <n v="1"/>
    <n v="966"/>
    <n v="3"/>
    <x v="0"/>
    <n v="93"/>
    <n v="3"/>
    <n v="2"/>
    <x v="3"/>
    <n v="1"/>
    <x v="1"/>
    <n v="6725"/>
    <n v="13554"/>
    <n v="1"/>
    <s v="Y"/>
    <s v="No"/>
    <n v="12"/>
    <n v="3"/>
    <n v="3"/>
    <n v="80"/>
    <n v="1"/>
    <n v="8"/>
    <n v="2"/>
    <n v="4"/>
    <n v="8"/>
    <n v="7"/>
    <n v="6"/>
    <n v="3"/>
  </r>
  <r>
    <n v="36"/>
    <x v="0"/>
    <x v="0"/>
    <s v="Travel_Rarely"/>
    <n v="530"/>
    <x v="0"/>
    <n v="3"/>
    <n v="1"/>
    <x v="0"/>
    <n v="1"/>
    <n v="967"/>
    <n v="3"/>
    <x v="1"/>
    <n v="51"/>
    <n v="2"/>
    <n v="3"/>
    <x v="0"/>
    <n v="4"/>
    <x v="1"/>
    <n v="10325"/>
    <n v="5518"/>
    <n v="1"/>
    <s v="Y"/>
    <s v="Yes"/>
    <n v="11"/>
    <n v="3"/>
    <n v="1"/>
    <n v="80"/>
    <n v="1"/>
    <n v="16"/>
    <n v="6"/>
    <n v="3"/>
    <n v="16"/>
    <n v="7"/>
    <n v="3"/>
    <n v="7"/>
  </r>
  <r>
    <n v="33"/>
    <x v="2"/>
    <x v="1"/>
    <s v="Travel_Rarely"/>
    <n v="1069"/>
    <x v="1"/>
    <n v="1"/>
    <n v="3"/>
    <x v="0"/>
    <n v="1"/>
    <n v="969"/>
    <n v="2"/>
    <x v="0"/>
    <n v="42"/>
    <n v="2"/>
    <n v="2"/>
    <x v="4"/>
    <n v="4"/>
    <x v="0"/>
    <n v="6949"/>
    <n v="12291"/>
    <n v="0"/>
    <s v="Y"/>
    <s v="No"/>
    <n v="14"/>
    <n v="3"/>
    <n v="1"/>
    <n v="80"/>
    <n v="0"/>
    <n v="6"/>
    <n v="3"/>
    <n v="3"/>
    <n v="5"/>
    <n v="0"/>
    <n v="1"/>
    <n v="4"/>
  </r>
  <r>
    <n v="37"/>
    <x v="0"/>
    <x v="0"/>
    <s v="Travel_Rarely"/>
    <n v="625"/>
    <x v="0"/>
    <n v="1"/>
    <n v="4"/>
    <x v="0"/>
    <n v="1"/>
    <n v="970"/>
    <n v="1"/>
    <x v="1"/>
    <n v="46"/>
    <n v="2"/>
    <n v="3"/>
    <x v="0"/>
    <n v="3"/>
    <x v="1"/>
    <n v="10609"/>
    <n v="14922"/>
    <n v="5"/>
    <s v="Y"/>
    <s v="No"/>
    <n v="11"/>
    <n v="3"/>
    <n v="3"/>
    <n v="80"/>
    <n v="0"/>
    <n v="17"/>
    <n v="2"/>
    <n v="1"/>
    <n v="14"/>
    <n v="1"/>
    <n v="11"/>
    <n v="7"/>
  </r>
  <r>
    <n v="45"/>
    <x v="0"/>
    <x v="1"/>
    <s v="Non-Travel"/>
    <n v="805"/>
    <x v="1"/>
    <n v="4"/>
    <n v="2"/>
    <x v="0"/>
    <n v="1"/>
    <n v="972"/>
    <n v="3"/>
    <x v="1"/>
    <n v="57"/>
    <n v="3"/>
    <n v="2"/>
    <x v="2"/>
    <n v="2"/>
    <x v="1"/>
    <n v="4447"/>
    <n v="23163"/>
    <n v="1"/>
    <s v="Y"/>
    <s v="No"/>
    <n v="12"/>
    <n v="3"/>
    <n v="2"/>
    <n v="80"/>
    <n v="0"/>
    <n v="9"/>
    <n v="5"/>
    <n v="2"/>
    <n v="9"/>
    <n v="7"/>
    <n v="0"/>
    <n v="8"/>
  </r>
  <r>
    <n v="29"/>
    <x v="2"/>
    <x v="1"/>
    <s v="Travel_Frequently"/>
    <n v="1404"/>
    <x v="0"/>
    <n v="20"/>
    <n v="3"/>
    <x v="4"/>
    <n v="1"/>
    <n v="974"/>
    <n v="3"/>
    <x v="0"/>
    <n v="84"/>
    <n v="3"/>
    <n v="1"/>
    <x v="6"/>
    <n v="4"/>
    <x v="1"/>
    <n v="2157"/>
    <n v="18203"/>
    <n v="1"/>
    <s v="Y"/>
    <s v="No"/>
    <n v="15"/>
    <n v="3"/>
    <n v="2"/>
    <n v="80"/>
    <n v="1"/>
    <n v="3"/>
    <n v="5"/>
    <n v="3"/>
    <n v="3"/>
    <n v="1"/>
    <n v="0"/>
    <n v="2"/>
  </r>
  <r>
    <n v="35"/>
    <x v="2"/>
    <x v="1"/>
    <s v="Travel_Rarely"/>
    <n v="1219"/>
    <x v="0"/>
    <n v="18"/>
    <n v="3"/>
    <x v="2"/>
    <n v="1"/>
    <n v="975"/>
    <n v="3"/>
    <x v="0"/>
    <n v="86"/>
    <n v="3"/>
    <n v="2"/>
    <x v="0"/>
    <n v="3"/>
    <x v="1"/>
    <n v="4601"/>
    <n v="6179"/>
    <n v="1"/>
    <s v="Y"/>
    <s v="No"/>
    <n v="16"/>
    <n v="3"/>
    <n v="2"/>
    <n v="80"/>
    <n v="0"/>
    <n v="5"/>
    <n v="3"/>
    <n v="3"/>
    <n v="5"/>
    <n v="2"/>
    <n v="1"/>
    <n v="0"/>
  </r>
  <r>
    <n v="52"/>
    <x v="1"/>
    <x v="1"/>
    <s v="Travel_Rarely"/>
    <n v="1053"/>
    <x v="1"/>
    <n v="1"/>
    <n v="2"/>
    <x v="0"/>
    <n v="1"/>
    <n v="976"/>
    <n v="4"/>
    <x v="1"/>
    <n v="70"/>
    <n v="3"/>
    <n v="4"/>
    <x v="5"/>
    <n v="4"/>
    <x v="1"/>
    <n v="17099"/>
    <n v="13829"/>
    <n v="2"/>
    <s v="Y"/>
    <s v="No"/>
    <n v="15"/>
    <n v="3"/>
    <n v="2"/>
    <n v="80"/>
    <n v="1"/>
    <n v="26"/>
    <n v="2"/>
    <n v="2"/>
    <n v="9"/>
    <n v="8"/>
    <n v="7"/>
    <n v="8"/>
  </r>
  <r>
    <n v="58"/>
    <x v="1"/>
    <x v="0"/>
    <s v="Travel_Rarely"/>
    <n v="289"/>
    <x v="1"/>
    <n v="2"/>
    <n v="3"/>
    <x v="4"/>
    <n v="1"/>
    <n v="977"/>
    <n v="4"/>
    <x v="1"/>
    <n v="51"/>
    <n v="3"/>
    <n v="1"/>
    <x v="1"/>
    <n v="3"/>
    <x v="0"/>
    <n v="2479"/>
    <n v="26227"/>
    <n v="4"/>
    <s v="Y"/>
    <s v="No"/>
    <n v="24"/>
    <n v="4"/>
    <n v="1"/>
    <n v="80"/>
    <n v="0"/>
    <n v="7"/>
    <n v="4"/>
    <n v="3"/>
    <n v="1"/>
    <n v="0"/>
    <n v="0"/>
    <n v="0"/>
  </r>
  <r>
    <n v="53"/>
    <x v="1"/>
    <x v="1"/>
    <s v="Travel_Rarely"/>
    <n v="1376"/>
    <x v="0"/>
    <n v="2"/>
    <n v="2"/>
    <x v="2"/>
    <n v="1"/>
    <n v="981"/>
    <n v="3"/>
    <x v="1"/>
    <n v="45"/>
    <n v="3"/>
    <n v="4"/>
    <x v="5"/>
    <n v="3"/>
    <x v="2"/>
    <n v="14852"/>
    <n v="13938"/>
    <n v="6"/>
    <s v="Y"/>
    <s v="No"/>
    <n v="13"/>
    <n v="3"/>
    <n v="3"/>
    <n v="80"/>
    <n v="1"/>
    <n v="22"/>
    <n v="3"/>
    <n v="4"/>
    <n v="17"/>
    <n v="13"/>
    <n v="15"/>
    <n v="2"/>
  </r>
  <r>
    <n v="30"/>
    <x v="2"/>
    <x v="1"/>
    <s v="Travel_Rarely"/>
    <n v="231"/>
    <x v="0"/>
    <n v="8"/>
    <n v="2"/>
    <x v="1"/>
    <n v="1"/>
    <n v="982"/>
    <n v="3"/>
    <x v="1"/>
    <n v="62"/>
    <n v="3"/>
    <n v="3"/>
    <x v="0"/>
    <n v="3"/>
    <x v="2"/>
    <n v="7264"/>
    <n v="9977"/>
    <n v="5"/>
    <s v="Y"/>
    <s v="No"/>
    <n v="11"/>
    <n v="3"/>
    <n v="1"/>
    <n v="80"/>
    <n v="1"/>
    <n v="10"/>
    <n v="2"/>
    <n v="4"/>
    <n v="8"/>
    <n v="4"/>
    <n v="7"/>
    <n v="7"/>
  </r>
  <r>
    <n v="38"/>
    <x v="0"/>
    <x v="1"/>
    <s v="Non-Travel"/>
    <n v="152"/>
    <x v="0"/>
    <n v="10"/>
    <n v="3"/>
    <x v="4"/>
    <n v="1"/>
    <n v="983"/>
    <n v="3"/>
    <x v="0"/>
    <n v="85"/>
    <n v="3"/>
    <n v="2"/>
    <x v="0"/>
    <n v="4"/>
    <x v="0"/>
    <n v="5666"/>
    <n v="19899"/>
    <n v="1"/>
    <s v="Y"/>
    <s v="Yes"/>
    <n v="13"/>
    <n v="3"/>
    <n v="2"/>
    <n v="80"/>
    <n v="0"/>
    <n v="6"/>
    <n v="1"/>
    <n v="3"/>
    <n v="5"/>
    <n v="3"/>
    <n v="1"/>
    <n v="3"/>
  </r>
  <r>
    <n v="35"/>
    <x v="2"/>
    <x v="1"/>
    <s v="Travel_Rarely"/>
    <n v="882"/>
    <x v="0"/>
    <n v="3"/>
    <n v="4"/>
    <x v="0"/>
    <n v="1"/>
    <n v="984"/>
    <n v="4"/>
    <x v="1"/>
    <n v="92"/>
    <n v="3"/>
    <n v="3"/>
    <x v="0"/>
    <n v="4"/>
    <x v="2"/>
    <n v="7823"/>
    <n v="6812"/>
    <n v="6"/>
    <s v="Y"/>
    <s v="No"/>
    <n v="13"/>
    <n v="3"/>
    <n v="2"/>
    <n v="80"/>
    <n v="1"/>
    <n v="12"/>
    <n v="2"/>
    <n v="3"/>
    <n v="10"/>
    <n v="9"/>
    <n v="0"/>
    <n v="8"/>
  </r>
  <r>
    <n v="39"/>
    <x v="0"/>
    <x v="1"/>
    <s v="Travel_Rarely"/>
    <n v="903"/>
    <x v="0"/>
    <n v="2"/>
    <n v="5"/>
    <x v="0"/>
    <n v="1"/>
    <n v="985"/>
    <n v="1"/>
    <x v="1"/>
    <n v="41"/>
    <n v="4"/>
    <n v="3"/>
    <x v="0"/>
    <n v="3"/>
    <x v="0"/>
    <n v="7880"/>
    <n v="2560"/>
    <n v="0"/>
    <s v="Y"/>
    <s v="No"/>
    <n v="18"/>
    <n v="3"/>
    <n v="4"/>
    <n v="80"/>
    <n v="0"/>
    <n v="9"/>
    <n v="3"/>
    <n v="3"/>
    <n v="8"/>
    <n v="7"/>
    <n v="0"/>
    <n v="7"/>
  </r>
  <r>
    <n v="40"/>
    <x v="0"/>
    <x v="0"/>
    <s v="Non-Travel"/>
    <n v="1479"/>
    <x v="0"/>
    <n v="24"/>
    <n v="3"/>
    <x v="0"/>
    <n v="1"/>
    <n v="986"/>
    <n v="2"/>
    <x v="0"/>
    <n v="100"/>
    <n v="4"/>
    <n v="4"/>
    <x v="0"/>
    <n v="2"/>
    <x v="0"/>
    <n v="13194"/>
    <n v="17071"/>
    <n v="4"/>
    <s v="Y"/>
    <s v="Yes"/>
    <n v="16"/>
    <n v="3"/>
    <n v="4"/>
    <n v="80"/>
    <n v="0"/>
    <n v="22"/>
    <n v="2"/>
    <n v="2"/>
    <n v="1"/>
    <n v="0"/>
    <n v="0"/>
    <n v="0"/>
  </r>
  <r>
    <n v="47"/>
    <x v="1"/>
    <x v="1"/>
    <s v="Travel_Frequently"/>
    <n v="1379"/>
    <x v="1"/>
    <n v="16"/>
    <n v="4"/>
    <x v="2"/>
    <n v="1"/>
    <n v="987"/>
    <n v="3"/>
    <x v="1"/>
    <n v="64"/>
    <n v="4"/>
    <n v="2"/>
    <x v="3"/>
    <n v="3"/>
    <x v="2"/>
    <n v="5067"/>
    <n v="6759"/>
    <n v="1"/>
    <s v="Y"/>
    <s v="Yes"/>
    <n v="19"/>
    <n v="3"/>
    <n v="3"/>
    <n v="80"/>
    <n v="0"/>
    <n v="20"/>
    <n v="3"/>
    <n v="4"/>
    <n v="19"/>
    <n v="10"/>
    <n v="2"/>
    <n v="7"/>
  </r>
  <r>
    <n v="36"/>
    <x v="0"/>
    <x v="1"/>
    <s v="Non-Travel"/>
    <n v="1229"/>
    <x v="0"/>
    <n v="8"/>
    <n v="4"/>
    <x v="4"/>
    <n v="1"/>
    <n v="990"/>
    <n v="1"/>
    <x v="1"/>
    <n v="84"/>
    <n v="3"/>
    <n v="2"/>
    <x v="0"/>
    <n v="4"/>
    <x v="2"/>
    <n v="5079"/>
    <n v="25952"/>
    <n v="4"/>
    <s v="Y"/>
    <s v="No"/>
    <n v="13"/>
    <n v="3"/>
    <n v="4"/>
    <n v="80"/>
    <n v="2"/>
    <n v="12"/>
    <n v="3"/>
    <n v="3"/>
    <n v="7"/>
    <n v="7"/>
    <n v="0"/>
    <n v="7"/>
  </r>
  <r>
    <n v="31"/>
    <x v="2"/>
    <x v="0"/>
    <s v="Non-Travel"/>
    <n v="335"/>
    <x v="1"/>
    <n v="9"/>
    <n v="2"/>
    <x v="2"/>
    <n v="1"/>
    <n v="991"/>
    <n v="3"/>
    <x v="1"/>
    <n v="46"/>
    <n v="2"/>
    <n v="1"/>
    <x v="1"/>
    <n v="1"/>
    <x v="0"/>
    <n v="2321"/>
    <n v="10322"/>
    <n v="0"/>
    <s v="Y"/>
    <s v="Yes"/>
    <n v="22"/>
    <n v="4"/>
    <n v="1"/>
    <n v="80"/>
    <n v="0"/>
    <n v="4"/>
    <n v="0"/>
    <n v="3"/>
    <n v="3"/>
    <n v="2"/>
    <n v="1"/>
    <n v="2"/>
  </r>
  <r>
    <n v="33"/>
    <x v="2"/>
    <x v="1"/>
    <s v="Non-Travel"/>
    <n v="722"/>
    <x v="0"/>
    <n v="17"/>
    <n v="3"/>
    <x v="0"/>
    <n v="1"/>
    <n v="992"/>
    <n v="4"/>
    <x v="1"/>
    <n v="38"/>
    <n v="3"/>
    <n v="4"/>
    <x v="5"/>
    <n v="3"/>
    <x v="0"/>
    <n v="17444"/>
    <n v="20489"/>
    <n v="1"/>
    <s v="Y"/>
    <s v="No"/>
    <n v="11"/>
    <n v="3"/>
    <n v="4"/>
    <n v="80"/>
    <n v="0"/>
    <n v="10"/>
    <n v="2"/>
    <n v="3"/>
    <n v="10"/>
    <n v="8"/>
    <n v="6"/>
    <n v="0"/>
  </r>
  <r>
    <n v="29"/>
    <x v="2"/>
    <x v="0"/>
    <s v="Travel_Rarely"/>
    <n v="906"/>
    <x v="1"/>
    <n v="10"/>
    <n v="3"/>
    <x v="0"/>
    <n v="1"/>
    <n v="994"/>
    <n v="4"/>
    <x v="0"/>
    <n v="92"/>
    <n v="2"/>
    <n v="1"/>
    <x v="1"/>
    <n v="1"/>
    <x v="0"/>
    <n v="2404"/>
    <n v="11479"/>
    <n v="6"/>
    <s v="Y"/>
    <s v="Yes"/>
    <n v="20"/>
    <n v="4"/>
    <n v="3"/>
    <n v="80"/>
    <n v="0"/>
    <n v="3"/>
    <n v="5"/>
    <n v="3"/>
    <n v="0"/>
    <n v="0"/>
    <n v="0"/>
    <n v="0"/>
  </r>
  <r>
    <n v="33"/>
    <x v="2"/>
    <x v="1"/>
    <s v="Travel_Rarely"/>
    <n v="461"/>
    <x v="1"/>
    <n v="13"/>
    <n v="1"/>
    <x v="0"/>
    <n v="1"/>
    <n v="995"/>
    <n v="2"/>
    <x v="0"/>
    <n v="53"/>
    <n v="3"/>
    <n v="1"/>
    <x v="1"/>
    <n v="4"/>
    <x v="0"/>
    <n v="3452"/>
    <n v="17241"/>
    <n v="3"/>
    <s v="Y"/>
    <s v="No"/>
    <n v="18"/>
    <n v="3"/>
    <n v="1"/>
    <n v="80"/>
    <n v="0"/>
    <n v="5"/>
    <n v="4"/>
    <n v="3"/>
    <n v="3"/>
    <n v="2"/>
    <n v="0"/>
    <n v="2"/>
  </r>
  <r>
    <n v="45"/>
    <x v="0"/>
    <x v="1"/>
    <s v="Travel_Rarely"/>
    <n v="974"/>
    <x v="1"/>
    <n v="1"/>
    <n v="4"/>
    <x v="2"/>
    <n v="1"/>
    <n v="996"/>
    <n v="4"/>
    <x v="0"/>
    <n v="91"/>
    <n v="3"/>
    <n v="1"/>
    <x v="2"/>
    <n v="4"/>
    <x v="2"/>
    <n v="2270"/>
    <n v="11005"/>
    <n v="3"/>
    <s v="Y"/>
    <s v="No"/>
    <n v="14"/>
    <n v="3"/>
    <n v="4"/>
    <n v="80"/>
    <n v="2"/>
    <n v="8"/>
    <n v="2"/>
    <n v="3"/>
    <n v="5"/>
    <n v="3"/>
    <n v="0"/>
    <n v="2"/>
  </r>
  <r>
    <n v="50"/>
    <x v="1"/>
    <x v="1"/>
    <s v="Travel_Rarely"/>
    <n v="1126"/>
    <x v="1"/>
    <n v="1"/>
    <n v="2"/>
    <x v="2"/>
    <n v="1"/>
    <n v="997"/>
    <n v="4"/>
    <x v="1"/>
    <n v="66"/>
    <n v="3"/>
    <n v="4"/>
    <x v="7"/>
    <n v="4"/>
    <x v="2"/>
    <n v="17399"/>
    <n v="6615"/>
    <n v="9"/>
    <s v="Y"/>
    <s v="No"/>
    <n v="22"/>
    <n v="4"/>
    <n v="3"/>
    <n v="80"/>
    <n v="1"/>
    <n v="32"/>
    <n v="1"/>
    <n v="2"/>
    <n v="5"/>
    <n v="4"/>
    <n v="1"/>
    <n v="3"/>
  </r>
  <r>
    <n v="33"/>
    <x v="2"/>
    <x v="1"/>
    <s v="Travel_Frequently"/>
    <n v="827"/>
    <x v="1"/>
    <n v="1"/>
    <n v="4"/>
    <x v="1"/>
    <n v="1"/>
    <n v="998"/>
    <n v="3"/>
    <x v="0"/>
    <n v="84"/>
    <n v="4"/>
    <n v="2"/>
    <x v="4"/>
    <n v="2"/>
    <x v="1"/>
    <n v="5488"/>
    <n v="20161"/>
    <n v="1"/>
    <s v="Y"/>
    <s v="Yes"/>
    <n v="13"/>
    <n v="3"/>
    <n v="1"/>
    <n v="80"/>
    <n v="1"/>
    <n v="6"/>
    <n v="2"/>
    <n v="3"/>
    <n v="6"/>
    <n v="5"/>
    <n v="1"/>
    <n v="2"/>
  </r>
  <r>
    <n v="41"/>
    <x v="0"/>
    <x v="1"/>
    <s v="Travel_Frequently"/>
    <n v="840"/>
    <x v="1"/>
    <n v="9"/>
    <n v="3"/>
    <x v="2"/>
    <n v="1"/>
    <n v="999"/>
    <n v="1"/>
    <x v="1"/>
    <n v="64"/>
    <n v="3"/>
    <n v="5"/>
    <x v="7"/>
    <n v="3"/>
    <x v="2"/>
    <n v="19419"/>
    <n v="3735"/>
    <n v="2"/>
    <s v="Y"/>
    <s v="No"/>
    <n v="17"/>
    <n v="3"/>
    <n v="2"/>
    <n v="80"/>
    <n v="1"/>
    <n v="21"/>
    <n v="2"/>
    <n v="4"/>
    <n v="18"/>
    <n v="16"/>
    <n v="0"/>
    <n v="11"/>
  </r>
  <r>
    <n v="27"/>
    <x v="2"/>
    <x v="1"/>
    <s v="Travel_Rarely"/>
    <n v="1134"/>
    <x v="1"/>
    <n v="16"/>
    <n v="4"/>
    <x v="4"/>
    <n v="1"/>
    <n v="1001"/>
    <n v="3"/>
    <x v="0"/>
    <n v="37"/>
    <n v="3"/>
    <n v="1"/>
    <x v="2"/>
    <n v="2"/>
    <x v="1"/>
    <n v="2811"/>
    <n v="12086"/>
    <n v="9"/>
    <s v="Y"/>
    <s v="No"/>
    <n v="14"/>
    <n v="3"/>
    <n v="2"/>
    <n v="80"/>
    <n v="1"/>
    <n v="4"/>
    <n v="2"/>
    <n v="3"/>
    <n v="2"/>
    <n v="2"/>
    <n v="2"/>
    <n v="2"/>
  </r>
  <r>
    <n v="45"/>
    <x v="0"/>
    <x v="1"/>
    <s v="Non-Travel"/>
    <n v="248"/>
    <x v="1"/>
    <n v="23"/>
    <n v="2"/>
    <x v="0"/>
    <n v="1"/>
    <n v="1002"/>
    <n v="4"/>
    <x v="1"/>
    <n v="42"/>
    <n v="3"/>
    <n v="2"/>
    <x v="2"/>
    <n v="1"/>
    <x v="1"/>
    <n v="3633"/>
    <n v="14039"/>
    <n v="1"/>
    <s v="Y"/>
    <s v="Yes"/>
    <n v="15"/>
    <n v="3"/>
    <n v="3"/>
    <n v="80"/>
    <n v="1"/>
    <n v="9"/>
    <n v="2"/>
    <n v="3"/>
    <n v="9"/>
    <n v="8"/>
    <n v="0"/>
    <n v="8"/>
  </r>
  <r>
    <n v="47"/>
    <x v="1"/>
    <x v="1"/>
    <s v="Travel_Rarely"/>
    <n v="955"/>
    <x v="0"/>
    <n v="4"/>
    <n v="2"/>
    <x v="0"/>
    <n v="1"/>
    <n v="1003"/>
    <n v="4"/>
    <x v="0"/>
    <n v="83"/>
    <n v="3"/>
    <n v="2"/>
    <x v="0"/>
    <n v="4"/>
    <x v="0"/>
    <n v="4163"/>
    <n v="8571"/>
    <n v="1"/>
    <s v="Y"/>
    <s v="Yes"/>
    <n v="17"/>
    <n v="3"/>
    <n v="3"/>
    <n v="80"/>
    <n v="0"/>
    <n v="9"/>
    <n v="0"/>
    <n v="3"/>
    <n v="9"/>
    <n v="0"/>
    <n v="0"/>
    <n v="7"/>
  </r>
  <r>
    <n v="30"/>
    <x v="2"/>
    <x v="0"/>
    <s v="Travel_Rarely"/>
    <n v="138"/>
    <x v="1"/>
    <n v="22"/>
    <n v="3"/>
    <x v="0"/>
    <n v="1"/>
    <n v="1004"/>
    <n v="1"/>
    <x v="0"/>
    <n v="48"/>
    <n v="3"/>
    <n v="1"/>
    <x v="1"/>
    <n v="3"/>
    <x v="1"/>
    <n v="2132"/>
    <n v="11539"/>
    <n v="4"/>
    <s v="Y"/>
    <s v="Yes"/>
    <n v="11"/>
    <n v="3"/>
    <n v="2"/>
    <n v="80"/>
    <n v="0"/>
    <n v="7"/>
    <n v="2"/>
    <n v="3"/>
    <n v="5"/>
    <n v="2"/>
    <n v="0"/>
    <n v="1"/>
  </r>
  <r>
    <n v="50"/>
    <x v="1"/>
    <x v="1"/>
    <s v="Travel_Rarely"/>
    <n v="939"/>
    <x v="1"/>
    <n v="24"/>
    <n v="3"/>
    <x v="0"/>
    <n v="1"/>
    <n v="1005"/>
    <n v="4"/>
    <x v="1"/>
    <n v="95"/>
    <n v="3"/>
    <n v="4"/>
    <x v="3"/>
    <n v="3"/>
    <x v="1"/>
    <n v="13973"/>
    <n v="4161"/>
    <n v="3"/>
    <s v="Y"/>
    <s v="Yes"/>
    <n v="18"/>
    <n v="3"/>
    <n v="4"/>
    <n v="80"/>
    <n v="1"/>
    <n v="22"/>
    <n v="2"/>
    <n v="3"/>
    <n v="12"/>
    <n v="11"/>
    <n v="1"/>
    <n v="5"/>
  </r>
  <r>
    <n v="38"/>
    <x v="0"/>
    <x v="1"/>
    <s v="Travel_Frequently"/>
    <n v="1391"/>
    <x v="1"/>
    <n v="10"/>
    <n v="1"/>
    <x v="2"/>
    <n v="1"/>
    <n v="1006"/>
    <n v="3"/>
    <x v="1"/>
    <n v="66"/>
    <n v="3"/>
    <n v="1"/>
    <x v="1"/>
    <n v="3"/>
    <x v="1"/>
    <n v="2684"/>
    <n v="12127"/>
    <n v="0"/>
    <s v="Y"/>
    <s v="No"/>
    <n v="17"/>
    <n v="3"/>
    <n v="2"/>
    <n v="80"/>
    <n v="1"/>
    <n v="3"/>
    <n v="0"/>
    <n v="2"/>
    <n v="2"/>
    <n v="1"/>
    <n v="0"/>
    <n v="2"/>
  </r>
  <r>
    <n v="46"/>
    <x v="1"/>
    <x v="1"/>
    <s v="Travel_Rarely"/>
    <n v="566"/>
    <x v="1"/>
    <n v="7"/>
    <n v="2"/>
    <x v="2"/>
    <n v="1"/>
    <n v="1007"/>
    <n v="4"/>
    <x v="1"/>
    <n v="75"/>
    <n v="3"/>
    <n v="3"/>
    <x v="3"/>
    <n v="3"/>
    <x v="2"/>
    <n v="10845"/>
    <n v="24208"/>
    <n v="6"/>
    <s v="Y"/>
    <s v="No"/>
    <n v="13"/>
    <n v="3"/>
    <n v="2"/>
    <n v="80"/>
    <n v="1"/>
    <n v="13"/>
    <n v="3"/>
    <n v="3"/>
    <n v="8"/>
    <n v="7"/>
    <n v="0"/>
    <n v="7"/>
  </r>
  <r>
    <n v="24"/>
    <x v="3"/>
    <x v="1"/>
    <s v="Travel_Rarely"/>
    <n v="1206"/>
    <x v="1"/>
    <n v="17"/>
    <n v="1"/>
    <x v="2"/>
    <n v="1"/>
    <n v="1009"/>
    <n v="4"/>
    <x v="0"/>
    <n v="41"/>
    <n v="2"/>
    <n v="2"/>
    <x v="3"/>
    <n v="3"/>
    <x v="2"/>
    <n v="4377"/>
    <n v="24117"/>
    <n v="1"/>
    <s v="Y"/>
    <s v="No"/>
    <n v="15"/>
    <n v="3"/>
    <n v="2"/>
    <n v="80"/>
    <n v="2"/>
    <n v="5"/>
    <n v="6"/>
    <n v="3"/>
    <n v="4"/>
    <n v="2"/>
    <n v="3"/>
    <n v="2"/>
  </r>
  <r>
    <n v="35"/>
    <x v="2"/>
    <x v="0"/>
    <s v="Travel_Rarely"/>
    <n v="622"/>
    <x v="1"/>
    <n v="14"/>
    <n v="4"/>
    <x v="1"/>
    <n v="1"/>
    <n v="1010"/>
    <n v="3"/>
    <x v="1"/>
    <n v="39"/>
    <n v="2"/>
    <n v="1"/>
    <x v="2"/>
    <n v="2"/>
    <x v="2"/>
    <n v="3743"/>
    <n v="10074"/>
    <n v="1"/>
    <s v="Y"/>
    <s v="Yes"/>
    <n v="24"/>
    <n v="4"/>
    <n v="4"/>
    <n v="80"/>
    <n v="1"/>
    <n v="5"/>
    <n v="2"/>
    <n v="1"/>
    <n v="4"/>
    <n v="2"/>
    <n v="0"/>
    <n v="2"/>
  </r>
  <r>
    <n v="31"/>
    <x v="2"/>
    <x v="1"/>
    <s v="Travel_Frequently"/>
    <n v="853"/>
    <x v="1"/>
    <n v="1"/>
    <n v="1"/>
    <x v="0"/>
    <n v="1"/>
    <n v="1011"/>
    <n v="3"/>
    <x v="0"/>
    <n v="96"/>
    <n v="3"/>
    <n v="2"/>
    <x v="3"/>
    <n v="1"/>
    <x v="1"/>
    <n v="4148"/>
    <n v="11275"/>
    <n v="1"/>
    <s v="Y"/>
    <s v="No"/>
    <n v="12"/>
    <n v="3"/>
    <n v="3"/>
    <n v="80"/>
    <n v="1"/>
    <n v="4"/>
    <n v="1"/>
    <n v="3"/>
    <n v="4"/>
    <n v="3"/>
    <n v="0"/>
    <n v="3"/>
  </r>
  <r>
    <n v="18"/>
    <x v="3"/>
    <x v="1"/>
    <s v="Non-Travel"/>
    <n v="287"/>
    <x v="1"/>
    <n v="5"/>
    <n v="2"/>
    <x v="0"/>
    <n v="1"/>
    <n v="1012"/>
    <n v="2"/>
    <x v="1"/>
    <n v="73"/>
    <n v="3"/>
    <n v="1"/>
    <x v="1"/>
    <n v="4"/>
    <x v="0"/>
    <n v="1051"/>
    <n v="13493"/>
    <n v="1"/>
    <s v="Y"/>
    <s v="No"/>
    <n v="15"/>
    <n v="3"/>
    <n v="4"/>
    <n v="80"/>
    <n v="0"/>
    <n v="0"/>
    <n v="2"/>
    <n v="3"/>
    <n v="0"/>
    <n v="0"/>
    <n v="0"/>
    <n v="0"/>
  </r>
  <r>
    <n v="54"/>
    <x v="1"/>
    <x v="1"/>
    <s v="Travel_Rarely"/>
    <n v="1441"/>
    <x v="1"/>
    <n v="17"/>
    <n v="3"/>
    <x v="4"/>
    <n v="1"/>
    <n v="1013"/>
    <n v="3"/>
    <x v="0"/>
    <n v="56"/>
    <n v="3"/>
    <n v="3"/>
    <x v="3"/>
    <n v="3"/>
    <x v="1"/>
    <n v="10739"/>
    <n v="13943"/>
    <n v="8"/>
    <s v="Y"/>
    <s v="No"/>
    <n v="11"/>
    <n v="3"/>
    <n v="3"/>
    <n v="80"/>
    <n v="1"/>
    <n v="22"/>
    <n v="2"/>
    <n v="3"/>
    <n v="10"/>
    <n v="7"/>
    <n v="0"/>
    <n v="8"/>
  </r>
  <r>
    <n v="35"/>
    <x v="2"/>
    <x v="1"/>
    <s v="Travel_Rarely"/>
    <n v="583"/>
    <x v="1"/>
    <n v="25"/>
    <n v="4"/>
    <x v="2"/>
    <n v="1"/>
    <n v="1014"/>
    <n v="3"/>
    <x v="0"/>
    <n v="57"/>
    <n v="3"/>
    <n v="3"/>
    <x v="4"/>
    <n v="3"/>
    <x v="2"/>
    <n v="10388"/>
    <n v="6975"/>
    <n v="1"/>
    <s v="Y"/>
    <s v="Yes"/>
    <n v="11"/>
    <n v="3"/>
    <n v="3"/>
    <n v="80"/>
    <n v="1"/>
    <n v="16"/>
    <n v="3"/>
    <n v="2"/>
    <n v="16"/>
    <n v="10"/>
    <n v="10"/>
    <n v="1"/>
  </r>
  <r>
    <n v="30"/>
    <x v="2"/>
    <x v="1"/>
    <s v="Travel_Rarely"/>
    <n v="153"/>
    <x v="1"/>
    <n v="8"/>
    <n v="2"/>
    <x v="0"/>
    <n v="1"/>
    <n v="1015"/>
    <n v="2"/>
    <x v="0"/>
    <n v="73"/>
    <n v="4"/>
    <n v="3"/>
    <x v="7"/>
    <n v="1"/>
    <x v="1"/>
    <n v="11416"/>
    <n v="17802"/>
    <n v="0"/>
    <s v="Y"/>
    <s v="Yes"/>
    <n v="12"/>
    <n v="3"/>
    <n v="3"/>
    <n v="80"/>
    <n v="3"/>
    <n v="9"/>
    <n v="4"/>
    <n v="2"/>
    <n v="8"/>
    <n v="7"/>
    <n v="1"/>
    <n v="7"/>
  </r>
  <r>
    <n v="20"/>
    <x v="3"/>
    <x v="0"/>
    <s v="Travel_Rarely"/>
    <n v="1097"/>
    <x v="1"/>
    <n v="11"/>
    <n v="3"/>
    <x v="2"/>
    <n v="1"/>
    <n v="1016"/>
    <n v="4"/>
    <x v="0"/>
    <n v="98"/>
    <n v="2"/>
    <n v="1"/>
    <x v="1"/>
    <n v="1"/>
    <x v="0"/>
    <n v="2600"/>
    <n v="18275"/>
    <n v="1"/>
    <s v="Y"/>
    <s v="Yes"/>
    <n v="15"/>
    <n v="3"/>
    <n v="1"/>
    <n v="80"/>
    <n v="0"/>
    <n v="1"/>
    <n v="2"/>
    <n v="3"/>
    <n v="1"/>
    <n v="0"/>
    <n v="0"/>
    <n v="0"/>
  </r>
  <r>
    <n v="30"/>
    <x v="2"/>
    <x v="0"/>
    <s v="Travel_Frequently"/>
    <n v="109"/>
    <x v="1"/>
    <n v="5"/>
    <n v="3"/>
    <x v="2"/>
    <n v="1"/>
    <n v="1017"/>
    <n v="2"/>
    <x v="0"/>
    <n v="60"/>
    <n v="3"/>
    <n v="1"/>
    <x v="2"/>
    <n v="2"/>
    <x v="0"/>
    <n v="2422"/>
    <n v="25725"/>
    <n v="0"/>
    <s v="Y"/>
    <s v="No"/>
    <n v="17"/>
    <n v="3"/>
    <n v="1"/>
    <n v="80"/>
    <n v="0"/>
    <n v="4"/>
    <n v="3"/>
    <n v="3"/>
    <n v="3"/>
    <n v="2"/>
    <n v="1"/>
    <n v="2"/>
  </r>
  <r>
    <n v="26"/>
    <x v="2"/>
    <x v="1"/>
    <s v="Travel_Rarely"/>
    <n v="1066"/>
    <x v="1"/>
    <n v="2"/>
    <n v="2"/>
    <x v="2"/>
    <n v="1"/>
    <n v="1018"/>
    <n v="4"/>
    <x v="1"/>
    <n v="32"/>
    <n v="4"/>
    <n v="2"/>
    <x v="3"/>
    <n v="4"/>
    <x v="1"/>
    <n v="5472"/>
    <n v="3334"/>
    <n v="1"/>
    <s v="Y"/>
    <s v="No"/>
    <n v="12"/>
    <n v="3"/>
    <n v="2"/>
    <n v="80"/>
    <n v="0"/>
    <n v="8"/>
    <n v="2"/>
    <n v="3"/>
    <n v="8"/>
    <n v="7"/>
    <n v="1"/>
    <n v="3"/>
  </r>
  <r>
    <n v="22"/>
    <x v="3"/>
    <x v="1"/>
    <s v="Travel_Rarely"/>
    <n v="217"/>
    <x v="1"/>
    <n v="8"/>
    <n v="1"/>
    <x v="0"/>
    <n v="1"/>
    <n v="1019"/>
    <n v="2"/>
    <x v="1"/>
    <n v="94"/>
    <n v="1"/>
    <n v="1"/>
    <x v="2"/>
    <n v="1"/>
    <x v="1"/>
    <n v="2451"/>
    <n v="6881"/>
    <n v="1"/>
    <s v="Y"/>
    <s v="No"/>
    <n v="15"/>
    <n v="3"/>
    <n v="1"/>
    <n v="80"/>
    <n v="1"/>
    <n v="4"/>
    <n v="3"/>
    <n v="2"/>
    <n v="4"/>
    <n v="3"/>
    <n v="1"/>
    <n v="1"/>
  </r>
  <r>
    <n v="48"/>
    <x v="1"/>
    <x v="1"/>
    <s v="Travel_Rarely"/>
    <n v="277"/>
    <x v="1"/>
    <n v="6"/>
    <n v="3"/>
    <x v="0"/>
    <n v="1"/>
    <n v="1022"/>
    <n v="1"/>
    <x v="1"/>
    <n v="97"/>
    <n v="2"/>
    <n v="2"/>
    <x v="4"/>
    <n v="3"/>
    <x v="0"/>
    <n v="4240"/>
    <n v="13119"/>
    <n v="2"/>
    <s v="Y"/>
    <s v="No"/>
    <n v="13"/>
    <n v="3"/>
    <n v="4"/>
    <n v="80"/>
    <n v="0"/>
    <n v="19"/>
    <n v="0"/>
    <n v="3"/>
    <n v="2"/>
    <n v="2"/>
    <n v="2"/>
    <n v="2"/>
  </r>
  <r>
    <n v="48"/>
    <x v="1"/>
    <x v="1"/>
    <s v="Travel_Rarely"/>
    <n v="1355"/>
    <x v="1"/>
    <n v="4"/>
    <n v="4"/>
    <x v="0"/>
    <n v="1"/>
    <n v="1024"/>
    <n v="3"/>
    <x v="1"/>
    <n v="78"/>
    <n v="2"/>
    <n v="3"/>
    <x v="4"/>
    <n v="3"/>
    <x v="0"/>
    <n v="10999"/>
    <n v="22245"/>
    <n v="7"/>
    <s v="Y"/>
    <s v="No"/>
    <n v="14"/>
    <n v="3"/>
    <n v="2"/>
    <n v="80"/>
    <n v="0"/>
    <n v="27"/>
    <n v="3"/>
    <n v="3"/>
    <n v="15"/>
    <n v="11"/>
    <n v="4"/>
    <n v="8"/>
  </r>
  <r>
    <n v="41"/>
    <x v="0"/>
    <x v="1"/>
    <s v="Travel_Rarely"/>
    <n v="549"/>
    <x v="1"/>
    <n v="7"/>
    <n v="2"/>
    <x v="2"/>
    <n v="1"/>
    <n v="1025"/>
    <n v="4"/>
    <x v="0"/>
    <n v="42"/>
    <n v="3"/>
    <n v="2"/>
    <x v="3"/>
    <n v="3"/>
    <x v="0"/>
    <n v="5003"/>
    <n v="23371"/>
    <n v="6"/>
    <s v="Y"/>
    <s v="No"/>
    <n v="14"/>
    <n v="3"/>
    <n v="2"/>
    <n v="80"/>
    <n v="0"/>
    <n v="8"/>
    <n v="6"/>
    <n v="3"/>
    <n v="2"/>
    <n v="2"/>
    <n v="2"/>
    <n v="1"/>
  </r>
  <r>
    <n v="39"/>
    <x v="0"/>
    <x v="1"/>
    <s v="Travel_Rarely"/>
    <n v="466"/>
    <x v="1"/>
    <n v="1"/>
    <n v="1"/>
    <x v="0"/>
    <n v="1"/>
    <n v="1026"/>
    <n v="4"/>
    <x v="0"/>
    <n v="65"/>
    <n v="2"/>
    <n v="4"/>
    <x v="3"/>
    <n v="4"/>
    <x v="1"/>
    <n v="12742"/>
    <n v="7060"/>
    <n v="1"/>
    <s v="Y"/>
    <s v="No"/>
    <n v="16"/>
    <n v="3"/>
    <n v="3"/>
    <n v="80"/>
    <n v="1"/>
    <n v="21"/>
    <n v="3"/>
    <n v="3"/>
    <n v="21"/>
    <n v="6"/>
    <n v="11"/>
    <n v="8"/>
  </r>
  <r>
    <n v="27"/>
    <x v="2"/>
    <x v="1"/>
    <s v="Travel_Rarely"/>
    <n v="1055"/>
    <x v="1"/>
    <n v="2"/>
    <n v="4"/>
    <x v="0"/>
    <n v="1"/>
    <n v="1027"/>
    <n v="1"/>
    <x v="0"/>
    <n v="47"/>
    <n v="3"/>
    <n v="2"/>
    <x v="3"/>
    <n v="4"/>
    <x v="1"/>
    <n v="4227"/>
    <n v="4658"/>
    <n v="0"/>
    <s v="Y"/>
    <s v="No"/>
    <n v="18"/>
    <n v="3"/>
    <n v="2"/>
    <n v="80"/>
    <n v="1"/>
    <n v="4"/>
    <n v="2"/>
    <n v="3"/>
    <n v="3"/>
    <n v="2"/>
    <n v="2"/>
    <n v="2"/>
  </r>
  <r>
    <n v="35"/>
    <x v="2"/>
    <x v="1"/>
    <s v="Travel_Rarely"/>
    <n v="802"/>
    <x v="1"/>
    <n v="10"/>
    <n v="3"/>
    <x v="1"/>
    <n v="1"/>
    <n v="1028"/>
    <n v="2"/>
    <x v="1"/>
    <n v="45"/>
    <n v="3"/>
    <n v="1"/>
    <x v="2"/>
    <n v="4"/>
    <x v="2"/>
    <n v="3917"/>
    <n v="9541"/>
    <n v="1"/>
    <s v="Y"/>
    <s v="No"/>
    <n v="20"/>
    <n v="4"/>
    <n v="1"/>
    <n v="80"/>
    <n v="1"/>
    <n v="3"/>
    <n v="4"/>
    <n v="2"/>
    <n v="3"/>
    <n v="2"/>
    <n v="1"/>
    <n v="2"/>
  </r>
  <r>
    <n v="42"/>
    <x v="0"/>
    <x v="1"/>
    <s v="Travel_Rarely"/>
    <n v="265"/>
    <x v="0"/>
    <n v="5"/>
    <n v="2"/>
    <x v="3"/>
    <n v="1"/>
    <n v="1029"/>
    <n v="4"/>
    <x v="1"/>
    <n v="90"/>
    <n v="3"/>
    <n v="5"/>
    <x v="5"/>
    <n v="3"/>
    <x v="1"/>
    <n v="18303"/>
    <n v="7770"/>
    <n v="6"/>
    <s v="Y"/>
    <s v="No"/>
    <n v="13"/>
    <n v="3"/>
    <n v="2"/>
    <n v="80"/>
    <n v="0"/>
    <n v="21"/>
    <n v="3"/>
    <n v="4"/>
    <n v="1"/>
    <n v="0"/>
    <n v="0"/>
    <n v="0"/>
  </r>
  <r>
    <n v="50"/>
    <x v="1"/>
    <x v="1"/>
    <s v="Travel_Rarely"/>
    <n v="804"/>
    <x v="1"/>
    <n v="9"/>
    <n v="3"/>
    <x v="0"/>
    <n v="1"/>
    <n v="1030"/>
    <n v="1"/>
    <x v="1"/>
    <n v="64"/>
    <n v="3"/>
    <n v="1"/>
    <x v="2"/>
    <n v="4"/>
    <x v="1"/>
    <n v="2380"/>
    <n v="20165"/>
    <n v="4"/>
    <s v="Y"/>
    <s v="No"/>
    <n v="18"/>
    <n v="3"/>
    <n v="2"/>
    <n v="80"/>
    <n v="0"/>
    <n v="8"/>
    <n v="5"/>
    <n v="3"/>
    <n v="1"/>
    <n v="0"/>
    <n v="0"/>
    <n v="0"/>
  </r>
  <r>
    <n v="59"/>
    <x v="1"/>
    <x v="1"/>
    <s v="Travel_Rarely"/>
    <n v="715"/>
    <x v="1"/>
    <n v="2"/>
    <n v="3"/>
    <x v="0"/>
    <n v="1"/>
    <n v="1032"/>
    <n v="3"/>
    <x v="0"/>
    <n v="69"/>
    <n v="2"/>
    <n v="4"/>
    <x v="3"/>
    <n v="4"/>
    <x v="0"/>
    <n v="13726"/>
    <n v="21829"/>
    <n v="3"/>
    <s v="Y"/>
    <s v="Yes"/>
    <n v="13"/>
    <n v="3"/>
    <n v="1"/>
    <n v="80"/>
    <n v="0"/>
    <n v="30"/>
    <n v="4"/>
    <n v="3"/>
    <n v="5"/>
    <n v="3"/>
    <n v="4"/>
    <n v="3"/>
  </r>
  <r>
    <n v="37"/>
    <x v="0"/>
    <x v="0"/>
    <s v="Travel_Rarely"/>
    <n v="1141"/>
    <x v="1"/>
    <n v="11"/>
    <n v="2"/>
    <x v="2"/>
    <n v="1"/>
    <n v="1033"/>
    <n v="1"/>
    <x v="0"/>
    <n v="61"/>
    <n v="1"/>
    <n v="2"/>
    <x v="4"/>
    <n v="2"/>
    <x v="1"/>
    <n v="4777"/>
    <n v="14382"/>
    <n v="5"/>
    <s v="Y"/>
    <s v="No"/>
    <n v="15"/>
    <n v="3"/>
    <n v="1"/>
    <n v="80"/>
    <n v="0"/>
    <n v="15"/>
    <n v="2"/>
    <n v="1"/>
    <n v="1"/>
    <n v="0"/>
    <n v="0"/>
    <n v="0"/>
  </r>
  <r>
    <n v="55"/>
    <x v="1"/>
    <x v="1"/>
    <s v="Travel_Frequently"/>
    <n v="135"/>
    <x v="1"/>
    <n v="18"/>
    <n v="4"/>
    <x v="2"/>
    <n v="1"/>
    <n v="1034"/>
    <n v="3"/>
    <x v="1"/>
    <n v="62"/>
    <n v="3"/>
    <n v="2"/>
    <x v="4"/>
    <n v="2"/>
    <x v="1"/>
    <n v="6385"/>
    <n v="12992"/>
    <n v="3"/>
    <s v="Y"/>
    <s v="Yes"/>
    <n v="14"/>
    <n v="3"/>
    <n v="4"/>
    <n v="80"/>
    <n v="2"/>
    <n v="17"/>
    <n v="3"/>
    <n v="3"/>
    <n v="8"/>
    <n v="7"/>
    <n v="6"/>
    <n v="7"/>
  </r>
  <r>
    <n v="41"/>
    <x v="0"/>
    <x v="1"/>
    <s v="Non-Travel"/>
    <n v="247"/>
    <x v="1"/>
    <n v="7"/>
    <n v="1"/>
    <x v="0"/>
    <n v="1"/>
    <n v="1035"/>
    <n v="2"/>
    <x v="0"/>
    <n v="55"/>
    <n v="1"/>
    <n v="5"/>
    <x v="7"/>
    <n v="3"/>
    <x v="2"/>
    <n v="19973"/>
    <n v="20284"/>
    <n v="1"/>
    <s v="Y"/>
    <s v="No"/>
    <n v="22"/>
    <n v="4"/>
    <n v="2"/>
    <n v="80"/>
    <n v="2"/>
    <n v="21"/>
    <n v="3"/>
    <n v="3"/>
    <n v="21"/>
    <n v="16"/>
    <n v="5"/>
    <n v="10"/>
  </r>
  <r>
    <n v="38"/>
    <x v="0"/>
    <x v="1"/>
    <s v="Travel_Rarely"/>
    <n v="1035"/>
    <x v="0"/>
    <n v="3"/>
    <n v="4"/>
    <x v="0"/>
    <n v="1"/>
    <n v="1036"/>
    <n v="2"/>
    <x v="1"/>
    <n v="42"/>
    <n v="3"/>
    <n v="2"/>
    <x v="0"/>
    <n v="4"/>
    <x v="0"/>
    <n v="6861"/>
    <n v="4981"/>
    <n v="8"/>
    <s v="Y"/>
    <s v="Yes"/>
    <n v="12"/>
    <n v="3"/>
    <n v="3"/>
    <n v="80"/>
    <n v="0"/>
    <n v="19"/>
    <n v="1"/>
    <n v="3"/>
    <n v="1"/>
    <n v="0"/>
    <n v="0"/>
    <n v="0"/>
  </r>
  <r>
    <n v="26"/>
    <x v="2"/>
    <x v="0"/>
    <s v="Non-Travel"/>
    <n v="265"/>
    <x v="0"/>
    <n v="29"/>
    <n v="2"/>
    <x v="2"/>
    <n v="1"/>
    <n v="1037"/>
    <n v="2"/>
    <x v="1"/>
    <n v="79"/>
    <n v="1"/>
    <n v="2"/>
    <x v="0"/>
    <n v="1"/>
    <x v="0"/>
    <n v="4969"/>
    <n v="21813"/>
    <n v="8"/>
    <s v="Y"/>
    <s v="No"/>
    <n v="18"/>
    <n v="3"/>
    <n v="4"/>
    <n v="80"/>
    <n v="0"/>
    <n v="7"/>
    <n v="6"/>
    <n v="3"/>
    <n v="2"/>
    <n v="2"/>
    <n v="2"/>
    <n v="2"/>
  </r>
  <r>
    <n v="52"/>
    <x v="1"/>
    <x v="0"/>
    <s v="Travel_Rarely"/>
    <n v="266"/>
    <x v="0"/>
    <n v="2"/>
    <n v="1"/>
    <x v="3"/>
    <n v="1"/>
    <n v="1038"/>
    <n v="1"/>
    <x v="0"/>
    <n v="57"/>
    <n v="1"/>
    <n v="5"/>
    <x v="5"/>
    <n v="4"/>
    <x v="1"/>
    <n v="19845"/>
    <n v="25846"/>
    <n v="1"/>
    <s v="Y"/>
    <s v="No"/>
    <n v="15"/>
    <n v="3"/>
    <n v="4"/>
    <n v="80"/>
    <n v="1"/>
    <n v="33"/>
    <n v="3"/>
    <n v="3"/>
    <n v="32"/>
    <n v="14"/>
    <n v="6"/>
    <n v="9"/>
  </r>
  <r>
    <n v="44"/>
    <x v="0"/>
    <x v="1"/>
    <s v="Travel_Rarely"/>
    <n v="1448"/>
    <x v="0"/>
    <n v="28"/>
    <n v="3"/>
    <x v="2"/>
    <n v="1"/>
    <n v="1039"/>
    <n v="4"/>
    <x v="0"/>
    <n v="53"/>
    <n v="4"/>
    <n v="4"/>
    <x v="0"/>
    <n v="4"/>
    <x v="1"/>
    <n v="13320"/>
    <n v="11737"/>
    <n v="3"/>
    <s v="Y"/>
    <s v="Yes"/>
    <n v="18"/>
    <n v="3"/>
    <n v="3"/>
    <n v="80"/>
    <n v="1"/>
    <n v="23"/>
    <n v="2"/>
    <n v="3"/>
    <n v="12"/>
    <n v="11"/>
    <n v="11"/>
    <n v="11"/>
  </r>
  <r>
    <n v="50"/>
    <x v="1"/>
    <x v="1"/>
    <s v="Non-Travel"/>
    <n v="145"/>
    <x v="0"/>
    <n v="1"/>
    <n v="3"/>
    <x v="0"/>
    <n v="1"/>
    <n v="1040"/>
    <n v="4"/>
    <x v="0"/>
    <n v="95"/>
    <n v="3"/>
    <n v="2"/>
    <x v="0"/>
    <n v="3"/>
    <x v="1"/>
    <n v="6347"/>
    <n v="24920"/>
    <n v="0"/>
    <s v="Y"/>
    <s v="No"/>
    <n v="12"/>
    <n v="3"/>
    <n v="1"/>
    <n v="80"/>
    <n v="1"/>
    <n v="19"/>
    <n v="3"/>
    <n v="3"/>
    <n v="18"/>
    <n v="7"/>
    <n v="0"/>
    <n v="13"/>
  </r>
  <r>
    <n v="36"/>
    <x v="0"/>
    <x v="0"/>
    <s v="Travel_Rarely"/>
    <n v="885"/>
    <x v="1"/>
    <n v="16"/>
    <n v="4"/>
    <x v="0"/>
    <n v="1"/>
    <n v="1042"/>
    <n v="3"/>
    <x v="0"/>
    <n v="43"/>
    <n v="4"/>
    <n v="1"/>
    <x v="2"/>
    <n v="1"/>
    <x v="0"/>
    <n v="2743"/>
    <n v="8269"/>
    <n v="1"/>
    <s v="Y"/>
    <s v="No"/>
    <n v="16"/>
    <n v="3"/>
    <n v="3"/>
    <n v="80"/>
    <n v="0"/>
    <n v="18"/>
    <n v="1"/>
    <n v="3"/>
    <n v="17"/>
    <n v="13"/>
    <n v="15"/>
    <n v="14"/>
  </r>
  <r>
    <n v="39"/>
    <x v="0"/>
    <x v="1"/>
    <s v="Travel_Frequently"/>
    <n v="945"/>
    <x v="1"/>
    <n v="22"/>
    <n v="3"/>
    <x v="2"/>
    <n v="1"/>
    <n v="1043"/>
    <n v="4"/>
    <x v="0"/>
    <n v="82"/>
    <n v="3"/>
    <n v="3"/>
    <x v="3"/>
    <n v="1"/>
    <x v="0"/>
    <n v="10880"/>
    <n v="5083"/>
    <n v="1"/>
    <s v="Y"/>
    <s v="Yes"/>
    <n v="13"/>
    <n v="3"/>
    <n v="3"/>
    <n v="80"/>
    <n v="0"/>
    <n v="21"/>
    <n v="2"/>
    <n v="3"/>
    <n v="21"/>
    <n v="6"/>
    <n v="2"/>
    <n v="8"/>
  </r>
  <r>
    <n v="33"/>
    <x v="2"/>
    <x v="1"/>
    <s v="Non-Travel"/>
    <n v="1038"/>
    <x v="0"/>
    <n v="8"/>
    <n v="1"/>
    <x v="0"/>
    <n v="1"/>
    <n v="1044"/>
    <n v="2"/>
    <x v="0"/>
    <n v="88"/>
    <n v="2"/>
    <n v="1"/>
    <x v="6"/>
    <n v="4"/>
    <x v="0"/>
    <n v="2342"/>
    <n v="21437"/>
    <n v="0"/>
    <s v="Y"/>
    <s v="No"/>
    <n v="19"/>
    <n v="3"/>
    <n v="4"/>
    <n v="80"/>
    <n v="0"/>
    <n v="3"/>
    <n v="2"/>
    <n v="2"/>
    <n v="2"/>
    <n v="2"/>
    <n v="2"/>
    <n v="2"/>
  </r>
  <r>
    <n v="45"/>
    <x v="0"/>
    <x v="1"/>
    <s v="Travel_Rarely"/>
    <n v="1234"/>
    <x v="0"/>
    <n v="11"/>
    <n v="2"/>
    <x v="0"/>
    <n v="1"/>
    <n v="1045"/>
    <n v="4"/>
    <x v="0"/>
    <n v="90"/>
    <n v="3"/>
    <n v="4"/>
    <x v="5"/>
    <n v="4"/>
    <x v="1"/>
    <n v="17650"/>
    <n v="5404"/>
    <n v="3"/>
    <s v="Y"/>
    <s v="No"/>
    <n v="13"/>
    <n v="3"/>
    <n v="2"/>
    <n v="80"/>
    <n v="1"/>
    <n v="26"/>
    <n v="4"/>
    <n v="4"/>
    <n v="9"/>
    <n v="3"/>
    <n v="1"/>
    <n v="1"/>
  </r>
  <r>
    <n v="32"/>
    <x v="2"/>
    <x v="1"/>
    <s v="Non-Travel"/>
    <n v="1109"/>
    <x v="1"/>
    <n v="29"/>
    <n v="4"/>
    <x v="2"/>
    <n v="1"/>
    <n v="1046"/>
    <n v="4"/>
    <x v="0"/>
    <n v="69"/>
    <n v="3"/>
    <n v="1"/>
    <x v="2"/>
    <n v="3"/>
    <x v="0"/>
    <n v="4025"/>
    <n v="11135"/>
    <n v="9"/>
    <s v="Y"/>
    <s v="No"/>
    <n v="12"/>
    <n v="3"/>
    <n v="2"/>
    <n v="80"/>
    <n v="0"/>
    <n v="10"/>
    <n v="2"/>
    <n v="3"/>
    <n v="8"/>
    <n v="7"/>
    <n v="7"/>
    <n v="7"/>
  </r>
  <r>
    <n v="34"/>
    <x v="2"/>
    <x v="1"/>
    <s v="Travel_Rarely"/>
    <n v="216"/>
    <x v="0"/>
    <n v="1"/>
    <n v="4"/>
    <x v="3"/>
    <n v="1"/>
    <n v="1047"/>
    <n v="2"/>
    <x v="1"/>
    <n v="75"/>
    <n v="4"/>
    <n v="2"/>
    <x v="0"/>
    <n v="4"/>
    <x v="2"/>
    <n v="9725"/>
    <n v="12278"/>
    <n v="0"/>
    <s v="Y"/>
    <s v="No"/>
    <n v="11"/>
    <n v="3"/>
    <n v="4"/>
    <n v="80"/>
    <n v="1"/>
    <n v="16"/>
    <n v="2"/>
    <n v="2"/>
    <n v="15"/>
    <n v="1"/>
    <n v="0"/>
    <n v="9"/>
  </r>
  <r>
    <n v="59"/>
    <x v="1"/>
    <x v="1"/>
    <s v="Travel_Rarely"/>
    <n v="1089"/>
    <x v="0"/>
    <n v="1"/>
    <n v="2"/>
    <x v="4"/>
    <n v="1"/>
    <n v="1048"/>
    <n v="2"/>
    <x v="1"/>
    <n v="66"/>
    <n v="3"/>
    <n v="3"/>
    <x v="5"/>
    <n v="4"/>
    <x v="1"/>
    <n v="11904"/>
    <n v="11038"/>
    <n v="3"/>
    <s v="Y"/>
    <s v="Yes"/>
    <n v="14"/>
    <n v="3"/>
    <n v="3"/>
    <n v="80"/>
    <n v="1"/>
    <n v="14"/>
    <n v="1"/>
    <n v="1"/>
    <n v="6"/>
    <n v="4"/>
    <n v="0"/>
    <n v="4"/>
  </r>
  <r>
    <n v="45"/>
    <x v="0"/>
    <x v="1"/>
    <s v="Travel_Rarely"/>
    <n v="788"/>
    <x v="2"/>
    <n v="24"/>
    <n v="4"/>
    <x v="2"/>
    <n v="1"/>
    <n v="1049"/>
    <n v="2"/>
    <x v="1"/>
    <n v="36"/>
    <n v="3"/>
    <n v="1"/>
    <x v="8"/>
    <n v="2"/>
    <x v="0"/>
    <n v="2177"/>
    <n v="8318"/>
    <n v="1"/>
    <s v="Y"/>
    <s v="No"/>
    <n v="16"/>
    <n v="3"/>
    <n v="1"/>
    <n v="80"/>
    <n v="0"/>
    <n v="6"/>
    <n v="3"/>
    <n v="3"/>
    <n v="6"/>
    <n v="3"/>
    <n v="0"/>
    <n v="4"/>
  </r>
  <r>
    <n v="53"/>
    <x v="1"/>
    <x v="1"/>
    <s v="Travel_Frequently"/>
    <n v="124"/>
    <x v="0"/>
    <n v="2"/>
    <n v="3"/>
    <x v="3"/>
    <n v="1"/>
    <n v="1050"/>
    <n v="3"/>
    <x v="0"/>
    <n v="38"/>
    <n v="2"/>
    <n v="3"/>
    <x v="0"/>
    <n v="2"/>
    <x v="1"/>
    <n v="7525"/>
    <n v="23537"/>
    <n v="2"/>
    <s v="Y"/>
    <s v="No"/>
    <n v="12"/>
    <n v="3"/>
    <n v="1"/>
    <n v="80"/>
    <n v="1"/>
    <n v="30"/>
    <n v="2"/>
    <n v="3"/>
    <n v="15"/>
    <n v="7"/>
    <n v="6"/>
    <n v="12"/>
  </r>
  <r>
    <n v="36"/>
    <x v="0"/>
    <x v="0"/>
    <s v="Travel_Rarely"/>
    <n v="660"/>
    <x v="1"/>
    <n v="15"/>
    <n v="3"/>
    <x v="1"/>
    <n v="1"/>
    <n v="1052"/>
    <n v="1"/>
    <x v="1"/>
    <n v="81"/>
    <n v="3"/>
    <n v="2"/>
    <x v="2"/>
    <n v="3"/>
    <x v="2"/>
    <n v="4834"/>
    <n v="7858"/>
    <n v="7"/>
    <s v="Y"/>
    <s v="No"/>
    <n v="14"/>
    <n v="3"/>
    <n v="2"/>
    <n v="80"/>
    <n v="1"/>
    <n v="9"/>
    <n v="3"/>
    <n v="2"/>
    <n v="1"/>
    <n v="0"/>
    <n v="0"/>
    <n v="0"/>
  </r>
  <r>
    <n v="26"/>
    <x v="2"/>
    <x v="0"/>
    <s v="Travel_Frequently"/>
    <n v="342"/>
    <x v="1"/>
    <n v="2"/>
    <n v="3"/>
    <x v="0"/>
    <n v="1"/>
    <n v="1053"/>
    <n v="1"/>
    <x v="1"/>
    <n v="57"/>
    <n v="3"/>
    <n v="1"/>
    <x v="1"/>
    <n v="1"/>
    <x v="1"/>
    <n v="2042"/>
    <n v="15346"/>
    <n v="6"/>
    <s v="Y"/>
    <s v="Yes"/>
    <n v="14"/>
    <n v="3"/>
    <n v="2"/>
    <n v="80"/>
    <n v="1"/>
    <n v="6"/>
    <n v="2"/>
    <n v="3"/>
    <n v="3"/>
    <n v="2"/>
    <n v="1"/>
    <n v="2"/>
  </r>
  <r>
    <n v="34"/>
    <x v="2"/>
    <x v="1"/>
    <s v="Travel_Rarely"/>
    <n v="1333"/>
    <x v="0"/>
    <n v="10"/>
    <n v="4"/>
    <x v="0"/>
    <n v="1"/>
    <n v="1055"/>
    <n v="3"/>
    <x v="0"/>
    <n v="87"/>
    <n v="3"/>
    <n v="1"/>
    <x v="6"/>
    <n v="3"/>
    <x v="1"/>
    <n v="2220"/>
    <n v="18410"/>
    <n v="1"/>
    <s v="Y"/>
    <s v="Yes"/>
    <n v="19"/>
    <n v="3"/>
    <n v="4"/>
    <n v="80"/>
    <n v="1"/>
    <n v="1"/>
    <n v="2"/>
    <n v="3"/>
    <n v="1"/>
    <n v="1"/>
    <n v="0"/>
    <n v="0"/>
  </r>
  <r>
    <n v="28"/>
    <x v="2"/>
    <x v="1"/>
    <s v="Travel_Rarely"/>
    <n v="1144"/>
    <x v="0"/>
    <n v="10"/>
    <n v="1"/>
    <x v="2"/>
    <n v="1"/>
    <n v="1056"/>
    <n v="4"/>
    <x v="1"/>
    <n v="74"/>
    <n v="3"/>
    <n v="1"/>
    <x v="6"/>
    <n v="2"/>
    <x v="1"/>
    <n v="1052"/>
    <n v="23384"/>
    <n v="1"/>
    <s v="Y"/>
    <s v="No"/>
    <n v="22"/>
    <n v="4"/>
    <n v="2"/>
    <n v="80"/>
    <n v="0"/>
    <n v="1"/>
    <n v="5"/>
    <n v="3"/>
    <n v="1"/>
    <n v="0"/>
    <n v="0"/>
    <n v="0"/>
  </r>
  <r>
    <n v="38"/>
    <x v="0"/>
    <x v="1"/>
    <s v="Travel_Frequently"/>
    <n v="1186"/>
    <x v="1"/>
    <n v="3"/>
    <n v="4"/>
    <x v="1"/>
    <n v="1"/>
    <n v="1060"/>
    <n v="3"/>
    <x v="1"/>
    <n v="44"/>
    <n v="3"/>
    <n v="1"/>
    <x v="1"/>
    <n v="3"/>
    <x v="1"/>
    <n v="2821"/>
    <n v="2997"/>
    <n v="3"/>
    <s v="Y"/>
    <s v="No"/>
    <n v="16"/>
    <n v="3"/>
    <n v="1"/>
    <n v="80"/>
    <n v="1"/>
    <n v="8"/>
    <n v="2"/>
    <n v="3"/>
    <n v="2"/>
    <n v="2"/>
    <n v="2"/>
    <n v="2"/>
  </r>
  <r>
    <n v="50"/>
    <x v="1"/>
    <x v="1"/>
    <s v="Travel_Rarely"/>
    <n v="1464"/>
    <x v="1"/>
    <n v="2"/>
    <n v="4"/>
    <x v="2"/>
    <n v="1"/>
    <n v="1061"/>
    <n v="2"/>
    <x v="1"/>
    <n v="62"/>
    <n v="3"/>
    <n v="5"/>
    <x v="7"/>
    <n v="3"/>
    <x v="1"/>
    <n v="19237"/>
    <n v="12853"/>
    <n v="2"/>
    <s v="Y"/>
    <s v="Yes"/>
    <n v="11"/>
    <n v="3"/>
    <n v="4"/>
    <n v="80"/>
    <n v="1"/>
    <n v="29"/>
    <n v="2"/>
    <n v="2"/>
    <n v="8"/>
    <n v="1"/>
    <n v="7"/>
    <n v="7"/>
  </r>
  <r>
    <n v="37"/>
    <x v="0"/>
    <x v="1"/>
    <s v="Travel_Rarely"/>
    <n v="124"/>
    <x v="1"/>
    <n v="3"/>
    <n v="3"/>
    <x v="1"/>
    <n v="1"/>
    <n v="1062"/>
    <n v="4"/>
    <x v="0"/>
    <n v="35"/>
    <n v="3"/>
    <n v="2"/>
    <x v="4"/>
    <n v="2"/>
    <x v="0"/>
    <n v="4107"/>
    <n v="13848"/>
    <n v="3"/>
    <s v="Y"/>
    <s v="No"/>
    <n v="15"/>
    <n v="3"/>
    <n v="1"/>
    <n v="80"/>
    <n v="0"/>
    <n v="8"/>
    <n v="3"/>
    <n v="2"/>
    <n v="4"/>
    <n v="3"/>
    <n v="0"/>
    <n v="1"/>
  </r>
  <r>
    <n v="40"/>
    <x v="0"/>
    <x v="1"/>
    <s v="Travel_Rarely"/>
    <n v="300"/>
    <x v="0"/>
    <n v="26"/>
    <n v="3"/>
    <x v="3"/>
    <n v="1"/>
    <n v="1066"/>
    <n v="3"/>
    <x v="1"/>
    <n v="74"/>
    <n v="3"/>
    <n v="2"/>
    <x v="0"/>
    <n v="1"/>
    <x v="1"/>
    <n v="8396"/>
    <n v="22217"/>
    <n v="1"/>
    <s v="Y"/>
    <s v="No"/>
    <n v="14"/>
    <n v="3"/>
    <n v="2"/>
    <n v="80"/>
    <n v="1"/>
    <n v="8"/>
    <n v="3"/>
    <n v="2"/>
    <n v="7"/>
    <n v="7"/>
    <n v="7"/>
    <n v="5"/>
  </r>
  <r>
    <n v="26"/>
    <x v="2"/>
    <x v="1"/>
    <s v="Travel_Frequently"/>
    <n v="921"/>
    <x v="1"/>
    <n v="1"/>
    <n v="1"/>
    <x v="2"/>
    <n v="1"/>
    <n v="1068"/>
    <n v="1"/>
    <x v="0"/>
    <n v="66"/>
    <n v="2"/>
    <n v="1"/>
    <x v="1"/>
    <n v="3"/>
    <x v="2"/>
    <n v="2007"/>
    <n v="25265"/>
    <n v="1"/>
    <s v="Y"/>
    <s v="No"/>
    <n v="13"/>
    <n v="3"/>
    <n v="3"/>
    <n v="80"/>
    <n v="2"/>
    <n v="5"/>
    <n v="5"/>
    <n v="3"/>
    <n v="5"/>
    <n v="3"/>
    <n v="1"/>
    <n v="3"/>
  </r>
  <r>
    <n v="46"/>
    <x v="1"/>
    <x v="1"/>
    <s v="Travel_Rarely"/>
    <n v="430"/>
    <x v="1"/>
    <n v="1"/>
    <n v="4"/>
    <x v="2"/>
    <n v="1"/>
    <n v="1069"/>
    <n v="4"/>
    <x v="1"/>
    <n v="40"/>
    <n v="3"/>
    <n v="5"/>
    <x v="7"/>
    <n v="4"/>
    <x v="2"/>
    <n v="19627"/>
    <n v="21445"/>
    <n v="9"/>
    <s v="Y"/>
    <s v="No"/>
    <n v="17"/>
    <n v="3"/>
    <n v="4"/>
    <n v="80"/>
    <n v="2"/>
    <n v="23"/>
    <n v="0"/>
    <n v="3"/>
    <n v="2"/>
    <n v="2"/>
    <n v="2"/>
    <n v="2"/>
  </r>
  <r>
    <n v="54"/>
    <x v="1"/>
    <x v="1"/>
    <s v="Travel_Rarely"/>
    <n v="1082"/>
    <x v="0"/>
    <n v="2"/>
    <n v="4"/>
    <x v="0"/>
    <n v="1"/>
    <n v="1070"/>
    <n v="3"/>
    <x v="0"/>
    <n v="41"/>
    <n v="2"/>
    <n v="3"/>
    <x v="0"/>
    <n v="3"/>
    <x v="1"/>
    <n v="10686"/>
    <n v="8392"/>
    <n v="6"/>
    <s v="Y"/>
    <s v="No"/>
    <n v="11"/>
    <n v="3"/>
    <n v="2"/>
    <n v="80"/>
    <n v="1"/>
    <n v="13"/>
    <n v="4"/>
    <n v="3"/>
    <n v="9"/>
    <n v="4"/>
    <n v="7"/>
    <n v="0"/>
  </r>
  <r>
    <n v="56"/>
    <x v="1"/>
    <x v="1"/>
    <s v="Travel_Frequently"/>
    <n v="1240"/>
    <x v="1"/>
    <n v="9"/>
    <n v="3"/>
    <x v="2"/>
    <n v="1"/>
    <n v="1071"/>
    <n v="1"/>
    <x v="0"/>
    <n v="63"/>
    <n v="3"/>
    <n v="1"/>
    <x v="1"/>
    <n v="3"/>
    <x v="1"/>
    <n v="2942"/>
    <n v="12154"/>
    <n v="2"/>
    <s v="Y"/>
    <s v="No"/>
    <n v="19"/>
    <n v="3"/>
    <n v="2"/>
    <n v="80"/>
    <n v="1"/>
    <n v="18"/>
    <n v="4"/>
    <n v="3"/>
    <n v="5"/>
    <n v="4"/>
    <n v="0"/>
    <n v="3"/>
  </r>
  <r>
    <n v="36"/>
    <x v="0"/>
    <x v="1"/>
    <s v="Travel_Rarely"/>
    <n v="796"/>
    <x v="1"/>
    <n v="12"/>
    <n v="5"/>
    <x v="2"/>
    <n v="1"/>
    <n v="1073"/>
    <n v="4"/>
    <x v="0"/>
    <n v="51"/>
    <n v="2"/>
    <n v="3"/>
    <x v="3"/>
    <n v="4"/>
    <x v="0"/>
    <n v="8858"/>
    <n v="15669"/>
    <n v="0"/>
    <s v="Y"/>
    <s v="No"/>
    <n v="11"/>
    <n v="3"/>
    <n v="2"/>
    <n v="80"/>
    <n v="0"/>
    <n v="15"/>
    <n v="2"/>
    <n v="2"/>
    <n v="14"/>
    <n v="8"/>
    <n v="7"/>
    <n v="8"/>
  </r>
  <r>
    <n v="55"/>
    <x v="1"/>
    <x v="1"/>
    <s v="Non-Travel"/>
    <n v="444"/>
    <x v="1"/>
    <n v="2"/>
    <n v="1"/>
    <x v="2"/>
    <n v="1"/>
    <n v="1074"/>
    <n v="3"/>
    <x v="1"/>
    <n v="40"/>
    <n v="2"/>
    <n v="4"/>
    <x v="5"/>
    <n v="1"/>
    <x v="0"/>
    <n v="16756"/>
    <n v="17323"/>
    <n v="7"/>
    <s v="Y"/>
    <s v="No"/>
    <n v="15"/>
    <n v="3"/>
    <n v="2"/>
    <n v="80"/>
    <n v="0"/>
    <n v="31"/>
    <n v="3"/>
    <n v="4"/>
    <n v="9"/>
    <n v="7"/>
    <n v="6"/>
    <n v="2"/>
  </r>
  <r>
    <n v="43"/>
    <x v="0"/>
    <x v="1"/>
    <s v="Travel_Rarely"/>
    <n v="415"/>
    <x v="0"/>
    <n v="25"/>
    <n v="3"/>
    <x v="2"/>
    <n v="1"/>
    <n v="1076"/>
    <n v="3"/>
    <x v="1"/>
    <n v="79"/>
    <n v="2"/>
    <n v="3"/>
    <x v="0"/>
    <n v="4"/>
    <x v="2"/>
    <n v="10798"/>
    <n v="5268"/>
    <n v="5"/>
    <s v="Y"/>
    <s v="No"/>
    <n v="13"/>
    <n v="3"/>
    <n v="3"/>
    <n v="80"/>
    <n v="1"/>
    <n v="18"/>
    <n v="5"/>
    <n v="3"/>
    <n v="1"/>
    <n v="0"/>
    <n v="0"/>
    <n v="0"/>
  </r>
  <r>
    <n v="20"/>
    <x v="3"/>
    <x v="0"/>
    <s v="Travel_Frequently"/>
    <n v="769"/>
    <x v="0"/>
    <n v="9"/>
    <n v="3"/>
    <x v="3"/>
    <n v="1"/>
    <n v="1077"/>
    <n v="4"/>
    <x v="0"/>
    <n v="54"/>
    <n v="3"/>
    <n v="1"/>
    <x v="6"/>
    <n v="4"/>
    <x v="0"/>
    <n v="2323"/>
    <n v="17205"/>
    <n v="1"/>
    <s v="Y"/>
    <s v="Yes"/>
    <n v="14"/>
    <n v="3"/>
    <n v="2"/>
    <n v="80"/>
    <n v="0"/>
    <n v="2"/>
    <n v="3"/>
    <n v="3"/>
    <n v="2"/>
    <n v="2"/>
    <n v="0"/>
    <n v="2"/>
  </r>
  <r>
    <n v="21"/>
    <x v="3"/>
    <x v="0"/>
    <s v="Travel_Rarely"/>
    <n v="1334"/>
    <x v="1"/>
    <n v="10"/>
    <n v="3"/>
    <x v="0"/>
    <n v="1"/>
    <n v="1079"/>
    <n v="3"/>
    <x v="0"/>
    <n v="36"/>
    <n v="2"/>
    <n v="1"/>
    <x v="2"/>
    <n v="1"/>
    <x v="0"/>
    <n v="1416"/>
    <n v="17258"/>
    <n v="1"/>
    <s v="Y"/>
    <s v="No"/>
    <n v="13"/>
    <n v="3"/>
    <n v="1"/>
    <n v="80"/>
    <n v="0"/>
    <n v="1"/>
    <n v="6"/>
    <n v="2"/>
    <n v="1"/>
    <n v="0"/>
    <n v="1"/>
    <n v="0"/>
  </r>
  <r>
    <n v="46"/>
    <x v="1"/>
    <x v="1"/>
    <s v="Travel_Rarely"/>
    <n v="1003"/>
    <x v="1"/>
    <n v="8"/>
    <n v="4"/>
    <x v="0"/>
    <n v="1"/>
    <n v="1080"/>
    <n v="4"/>
    <x v="0"/>
    <n v="74"/>
    <n v="2"/>
    <n v="2"/>
    <x v="1"/>
    <n v="1"/>
    <x v="2"/>
    <n v="4615"/>
    <n v="21029"/>
    <n v="8"/>
    <s v="Y"/>
    <s v="Yes"/>
    <n v="23"/>
    <n v="4"/>
    <n v="1"/>
    <n v="80"/>
    <n v="3"/>
    <n v="19"/>
    <n v="2"/>
    <n v="3"/>
    <n v="16"/>
    <n v="13"/>
    <n v="1"/>
    <n v="7"/>
  </r>
  <r>
    <n v="51"/>
    <x v="1"/>
    <x v="0"/>
    <s v="Travel_Rarely"/>
    <n v="1323"/>
    <x v="1"/>
    <n v="4"/>
    <n v="4"/>
    <x v="0"/>
    <n v="1"/>
    <n v="1081"/>
    <n v="1"/>
    <x v="1"/>
    <n v="34"/>
    <n v="3"/>
    <n v="1"/>
    <x v="1"/>
    <n v="3"/>
    <x v="1"/>
    <n v="2461"/>
    <n v="10332"/>
    <n v="9"/>
    <s v="Y"/>
    <s v="Yes"/>
    <n v="12"/>
    <n v="3"/>
    <n v="3"/>
    <n v="80"/>
    <n v="3"/>
    <n v="18"/>
    <n v="2"/>
    <n v="4"/>
    <n v="10"/>
    <n v="0"/>
    <n v="2"/>
    <n v="7"/>
  </r>
  <r>
    <n v="28"/>
    <x v="2"/>
    <x v="0"/>
    <s v="Non-Travel"/>
    <n v="1366"/>
    <x v="1"/>
    <n v="24"/>
    <n v="2"/>
    <x v="4"/>
    <n v="1"/>
    <n v="1082"/>
    <n v="2"/>
    <x v="1"/>
    <n v="72"/>
    <n v="2"/>
    <n v="3"/>
    <x v="4"/>
    <n v="1"/>
    <x v="0"/>
    <n v="8722"/>
    <n v="12355"/>
    <n v="1"/>
    <s v="Y"/>
    <s v="No"/>
    <n v="12"/>
    <n v="3"/>
    <n v="1"/>
    <n v="80"/>
    <n v="0"/>
    <n v="10"/>
    <n v="2"/>
    <n v="2"/>
    <n v="10"/>
    <n v="7"/>
    <n v="1"/>
    <n v="9"/>
  </r>
  <r>
    <n v="26"/>
    <x v="2"/>
    <x v="1"/>
    <s v="Travel_Rarely"/>
    <n v="192"/>
    <x v="1"/>
    <n v="1"/>
    <n v="2"/>
    <x v="2"/>
    <n v="1"/>
    <n v="1083"/>
    <n v="1"/>
    <x v="1"/>
    <n v="59"/>
    <n v="2"/>
    <n v="1"/>
    <x v="2"/>
    <n v="1"/>
    <x v="1"/>
    <n v="3955"/>
    <n v="11141"/>
    <n v="1"/>
    <s v="Y"/>
    <s v="No"/>
    <n v="16"/>
    <n v="3"/>
    <n v="1"/>
    <n v="80"/>
    <n v="2"/>
    <n v="6"/>
    <n v="2"/>
    <n v="3"/>
    <n v="5"/>
    <n v="3"/>
    <n v="1"/>
    <n v="3"/>
  </r>
  <r>
    <n v="30"/>
    <x v="2"/>
    <x v="1"/>
    <s v="Travel_Rarely"/>
    <n v="1176"/>
    <x v="1"/>
    <n v="20"/>
    <n v="3"/>
    <x v="1"/>
    <n v="1"/>
    <n v="1084"/>
    <n v="3"/>
    <x v="1"/>
    <n v="85"/>
    <n v="3"/>
    <n v="2"/>
    <x v="3"/>
    <n v="1"/>
    <x v="1"/>
    <n v="9957"/>
    <n v="9096"/>
    <n v="0"/>
    <s v="Y"/>
    <s v="No"/>
    <n v="15"/>
    <n v="3"/>
    <n v="3"/>
    <n v="80"/>
    <n v="1"/>
    <n v="7"/>
    <n v="1"/>
    <n v="2"/>
    <n v="6"/>
    <n v="2"/>
    <n v="0"/>
    <n v="2"/>
  </r>
  <r>
    <n v="41"/>
    <x v="0"/>
    <x v="1"/>
    <s v="Travel_Rarely"/>
    <n v="509"/>
    <x v="1"/>
    <n v="7"/>
    <n v="2"/>
    <x v="4"/>
    <n v="1"/>
    <n v="1085"/>
    <n v="2"/>
    <x v="0"/>
    <n v="43"/>
    <n v="4"/>
    <n v="1"/>
    <x v="1"/>
    <n v="3"/>
    <x v="1"/>
    <n v="3376"/>
    <n v="18863"/>
    <n v="1"/>
    <s v="Y"/>
    <s v="No"/>
    <n v="13"/>
    <n v="3"/>
    <n v="3"/>
    <n v="80"/>
    <n v="0"/>
    <n v="10"/>
    <n v="3"/>
    <n v="3"/>
    <n v="10"/>
    <n v="6"/>
    <n v="0"/>
    <n v="8"/>
  </r>
  <r>
    <n v="38"/>
    <x v="0"/>
    <x v="1"/>
    <s v="Travel_Rarely"/>
    <n v="330"/>
    <x v="1"/>
    <n v="17"/>
    <n v="1"/>
    <x v="0"/>
    <n v="1"/>
    <n v="1088"/>
    <n v="3"/>
    <x v="0"/>
    <n v="65"/>
    <n v="2"/>
    <n v="3"/>
    <x v="4"/>
    <n v="3"/>
    <x v="1"/>
    <n v="8823"/>
    <n v="24608"/>
    <n v="0"/>
    <s v="Y"/>
    <s v="No"/>
    <n v="18"/>
    <n v="3"/>
    <n v="1"/>
    <n v="80"/>
    <n v="1"/>
    <n v="20"/>
    <n v="4"/>
    <n v="2"/>
    <n v="19"/>
    <n v="9"/>
    <n v="1"/>
    <n v="9"/>
  </r>
  <r>
    <n v="40"/>
    <x v="0"/>
    <x v="1"/>
    <s v="Travel_Rarely"/>
    <n v="1492"/>
    <x v="1"/>
    <n v="20"/>
    <n v="4"/>
    <x v="4"/>
    <n v="1"/>
    <n v="1092"/>
    <n v="1"/>
    <x v="1"/>
    <n v="61"/>
    <n v="3"/>
    <n v="3"/>
    <x v="4"/>
    <n v="4"/>
    <x v="1"/>
    <n v="10322"/>
    <n v="26542"/>
    <n v="4"/>
    <s v="Y"/>
    <s v="No"/>
    <n v="20"/>
    <n v="4"/>
    <n v="4"/>
    <n v="80"/>
    <n v="1"/>
    <n v="14"/>
    <n v="6"/>
    <n v="3"/>
    <n v="11"/>
    <n v="10"/>
    <n v="11"/>
    <n v="1"/>
  </r>
  <r>
    <n v="27"/>
    <x v="2"/>
    <x v="1"/>
    <s v="Non-Travel"/>
    <n v="1277"/>
    <x v="1"/>
    <n v="8"/>
    <n v="5"/>
    <x v="0"/>
    <n v="1"/>
    <n v="1094"/>
    <n v="1"/>
    <x v="1"/>
    <n v="87"/>
    <n v="1"/>
    <n v="1"/>
    <x v="2"/>
    <n v="3"/>
    <x v="1"/>
    <n v="4621"/>
    <n v="5869"/>
    <n v="1"/>
    <s v="Y"/>
    <s v="No"/>
    <n v="19"/>
    <n v="3"/>
    <n v="4"/>
    <n v="80"/>
    <n v="3"/>
    <n v="3"/>
    <n v="4"/>
    <n v="3"/>
    <n v="3"/>
    <n v="2"/>
    <n v="1"/>
    <n v="2"/>
  </r>
  <r>
    <n v="55"/>
    <x v="1"/>
    <x v="1"/>
    <s v="Travel_Frequently"/>
    <n v="1091"/>
    <x v="1"/>
    <n v="2"/>
    <n v="1"/>
    <x v="0"/>
    <n v="1"/>
    <n v="1096"/>
    <n v="4"/>
    <x v="1"/>
    <n v="65"/>
    <n v="3"/>
    <n v="3"/>
    <x v="3"/>
    <n v="2"/>
    <x v="1"/>
    <n v="10976"/>
    <n v="15813"/>
    <n v="3"/>
    <s v="Y"/>
    <s v="No"/>
    <n v="18"/>
    <n v="3"/>
    <n v="2"/>
    <n v="80"/>
    <n v="1"/>
    <n v="23"/>
    <n v="4"/>
    <n v="3"/>
    <n v="3"/>
    <n v="2"/>
    <n v="1"/>
    <n v="2"/>
  </r>
  <r>
    <n v="28"/>
    <x v="2"/>
    <x v="1"/>
    <s v="Travel_Rarely"/>
    <n v="857"/>
    <x v="1"/>
    <n v="10"/>
    <n v="3"/>
    <x v="1"/>
    <n v="1"/>
    <n v="1097"/>
    <n v="3"/>
    <x v="0"/>
    <n v="59"/>
    <n v="3"/>
    <n v="2"/>
    <x v="1"/>
    <n v="3"/>
    <x v="0"/>
    <n v="3660"/>
    <n v="7909"/>
    <n v="3"/>
    <s v="Y"/>
    <s v="No"/>
    <n v="13"/>
    <n v="3"/>
    <n v="4"/>
    <n v="80"/>
    <n v="0"/>
    <n v="10"/>
    <n v="4"/>
    <n v="4"/>
    <n v="8"/>
    <n v="7"/>
    <n v="1"/>
    <n v="7"/>
  </r>
  <r>
    <n v="44"/>
    <x v="0"/>
    <x v="0"/>
    <s v="Travel_Rarely"/>
    <n v="1376"/>
    <x v="2"/>
    <n v="1"/>
    <n v="2"/>
    <x v="2"/>
    <n v="1"/>
    <n v="1098"/>
    <n v="2"/>
    <x v="1"/>
    <n v="91"/>
    <n v="2"/>
    <n v="3"/>
    <x v="8"/>
    <n v="1"/>
    <x v="1"/>
    <n v="10482"/>
    <n v="2326"/>
    <n v="9"/>
    <s v="Y"/>
    <s v="No"/>
    <n v="14"/>
    <n v="3"/>
    <n v="4"/>
    <n v="80"/>
    <n v="1"/>
    <n v="24"/>
    <n v="1"/>
    <n v="3"/>
    <n v="20"/>
    <n v="6"/>
    <n v="3"/>
    <n v="6"/>
  </r>
  <r>
    <n v="33"/>
    <x v="2"/>
    <x v="1"/>
    <s v="Travel_Rarely"/>
    <n v="654"/>
    <x v="1"/>
    <n v="5"/>
    <n v="3"/>
    <x v="0"/>
    <n v="1"/>
    <n v="1099"/>
    <n v="4"/>
    <x v="1"/>
    <n v="34"/>
    <n v="2"/>
    <n v="3"/>
    <x v="4"/>
    <n v="4"/>
    <x v="2"/>
    <n v="7119"/>
    <n v="21214"/>
    <n v="4"/>
    <s v="Y"/>
    <s v="No"/>
    <n v="15"/>
    <n v="3"/>
    <n v="3"/>
    <n v="80"/>
    <n v="1"/>
    <n v="9"/>
    <n v="2"/>
    <n v="3"/>
    <n v="3"/>
    <n v="2"/>
    <n v="1"/>
    <n v="2"/>
  </r>
  <r>
    <n v="35"/>
    <x v="2"/>
    <x v="0"/>
    <s v="Travel_Rarely"/>
    <n v="1204"/>
    <x v="0"/>
    <n v="4"/>
    <n v="3"/>
    <x v="4"/>
    <n v="1"/>
    <n v="1100"/>
    <n v="4"/>
    <x v="1"/>
    <n v="86"/>
    <n v="3"/>
    <n v="3"/>
    <x v="0"/>
    <n v="1"/>
    <x v="0"/>
    <n v="9582"/>
    <n v="10333"/>
    <n v="0"/>
    <s v="Y"/>
    <s v="Yes"/>
    <n v="22"/>
    <n v="4"/>
    <n v="1"/>
    <n v="80"/>
    <n v="0"/>
    <n v="9"/>
    <n v="2"/>
    <n v="3"/>
    <n v="8"/>
    <n v="7"/>
    <n v="4"/>
    <n v="7"/>
  </r>
  <r>
    <n v="33"/>
    <x v="2"/>
    <x v="0"/>
    <s v="Travel_Frequently"/>
    <n v="827"/>
    <x v="1"/>
    <n v="29"/>
    <n v="4"/>
    <x v="2"/>
    <n v="1"/>
    <n v="1101"/>
    <n v="1"/>
    <x v="0"/>
    <n v="54"/>
    <n v="2"/>
    <n v="2"/>
    <x v="1"/>
    <n v="3"/>
    <x v="0"/>
    <n v="4508"/>
    <n v="3129"/>
    <n v="1"/>
    <s v="Y"/>
    <s v="No"/>
    <n v="22"/>
    <n v="4"/>
    <n v="2"/>
    <n v="80"/>
    <n v="0"/>
    <n v="14"/>
    <n v="4"/>
    <n v="3"/>
    <n v="13"/>
    <n v="7"/>
    <n v="3"/>
    <n v="8"/>
  </r>
  <r>
    <n v="28"/>
    <x v="2"/>
    <x v="1"/>
    <s v="Travel_Rarely"/>
    <n v="895"/>
    <x v="1"/>
    <n v="15"/>
    <n v="2"/>
    <x v="0"/>
    <n v="1"/>
    <n v="1102"/>
    <n v="1"/>
    <x v="1"/>
    <n v="50"/>
    <n v="3"/>
    <n v="1"/>
    <x v="2"/>
    <n v="3"/>
    <x v="2"/>
    <n v="2207"/>
    <n v="22482"/>
    <n v="1"/>
    <s v="Y"/>
    <s v="No"/>
    <n v="16"/>
    <n v="3"/>
    <n v="4"/>
    <n v="80"/>
    <n v="1"/>
    <n v="4"/>
    <n v="5"/>
    <n v="2"/>
    <n v="4"/>
    <n v="2"/>
    <n v="2"/>
    <n v="2"/>
  </r>
  <r>
    <n v="34"/>
    <x v="2"/>
    <x v="1"/>
    <s v="Travel_Frequently"/>
    <n v="618"/>
    <x v="1"/>
    <n v="3"/>
    <n v="1"/>
    <x v="0"/>
    <n v="1"/>
    <n v="1103"/>
    <n v="1"/>
    <x v="1"/>
    <n v="45"/>
    <n v="3"/>
    <n v="2"/>
    <x v="4"/>
    <n v="4"/>
    <x v="0"/>
    <n v="7756"/>
    <n v="22266"/>
    <n v="0"/>
    <s v="Y"/>
    <s v="No"/>
    <n v="17"/>
    <n v="3"/>
    <n v="3"/>
    <n v="80"/>
    <n v="0"/>
    <n v="7"/>
    <n v="1"/>
    <n v="2"/>
    <n v="6"/>
    <n v="2"/>
    <n v="0"/>
    <n v="4"/>
  </r>
  <r>
    <n v="37"/>
    <x v="0"/>
    <x v="1"/>
    <s v="Travel_Rarely"/>
    <n v="309"/>
    <x v="0"/>
    <n v="10"/>
    <n v="4"/>
    <x v="0"/>
    <n v="1"/>
    <n v="1105"/>
    <n v="4"/>
    <x v="0"/>
    <n v="88"/>
    <n v="2"/>
    <n v="2"/>
    <x v="0"/>
    <n v="4"/>
    <x v="2"/>
    <n v="6694"/>
    <n v="24223"/>
    <n v="2"/>
    <s v="Y"/>
    <s v="Yes"/>
    <n v="14"/>
    <n v="3"/>
    <n v="3"/>
    <n v="80"/>
    <n v="3"/>
    <n v="8"/>
    <n v="5"/>
    <n v="3"/>
    <n v="1"/>
    <n v="0"/>
    <n v="0"/>
    <n v="0"/>
  </r>
  <r>
    <n v="25"/>
    <x v="3"/>
    <x v="0"/>
    <s v="Travel_Rarely"/>
    <n v="1219"/>
    <x v="1"/>
    <n v="4"/>
    <n v="1"/>
    <x v="4"/>
    <n v="1"/>
    <n v="1106"/>
    <n v="4"/>
    <x v="1"/>
    <n v="32"/>
    <n v="3"/>
    <n v="1"/>
    <x v="2"/>
    <n v="4"/>
    <x v="1"/>
    <n v="3691"/>
    <n v="4605"/>
    <n v="1"/>
    <s v="Y"/>
    <s v="Yes"/>
    <n v="15"/>
    <n v="3"/>
    <n v="2"/>
    <n v="80"/>
    <n v="1"/>
    <n v="7"/>
    <n v="3"/>
    <n v="4"/>
    <n v="7"/>
    <n v="7"/>
    <n v="5"/>
    <n v="6"/>
  </r>
  <r>
    <n v="26"/>
    <x v="2"/>
    <x v="0"/>
    <s v="Travel_Rarely"/>
    <n v="1330"/>
    <x v="1"/>
    <n v="21"/>
    <n v="3"/>
    <x v="2"/>
    <n v="1"/>
    <n v="1107"/>
    <n v="1"/>
    <x v="1"/>
    <n v="37"/>
    <n v="3"/>
    <n v="1"/>
    <x v="2"/>
    <n v="3"/>
    <x v="2"/>
    <n v="2377"/>
    <n v="19373"/>
    <n v="1"/>
    <s v="Y"/>
    <s v="No"/>
    <n v="20"/>
    <n v="4"/>
    <n v="3"/>
    <n v="80"/>
    <n v="1"/>
    <n v="1"/>
    <n v="0"/>
    <n v="2"/>
    <n v="1"/>
    <n v="1"/>
    <n v="0"/>
    <n v="0"/>
  </r>
  <r>
    <n v="33"/>
    <x v="2"/>
    <x v="0"/>
    <s v="Travel_Rarely"/>
    <n v="1017"/>
    <x v="1"/>
    <n v="25"/>
    <n v="3"/>
    <x v="2"/>
    <n v="1"/>
    <n v="1108"/>
    <n v="1"/>
    <x v="1"/>
    <n v="55"/>
    <n v="2"/>
    <n v="1"/>
    <x v="1"/>
    <n v="2"/>
    <x v="0"/>
    <n v="2313"/>
    <n v="2993"/>
    <n v="4"/>
    <s v="Y"/>
    <s v="Yes"/>
    <n v="20"/>
    <n v="4"/>
    <n v="2"/>
    <n v="80"/>
    <n v="0"/>
    <n v="5"/>
    <n v="0"/>
    <n v="3"/>
    <n v="2"/>
    <n v="2"/>
    <n v="2"/>
    <n v="2"/>
  </r>
  <r>
    <n v="42"/>
    <x v="0"/>
    <x v="1"/>
    <s v="Travel_Rarely"/>
    <n v="469"/>
    <x v="1"/>
    <n v="2"/>
    <n v="2"/>
    <x v="2"/>
    <n v="1"/>
    <n v="1109"/>
    <n v="4"/>
    <x v="1"/>
    <n v="35"/>
    <n v="3"/>
    <n v="4"/>
    <x v="5"/>
    <n v="1"/>
    <x v="1"/>
    <n v="17665"/>
    <n v="14399"/>
    <n v="0"/>
    <s v="Y"/>
    <s v="No"/>
    <n v="17"/>
    <n v="3"/>
    <n v="4"/>
    <n v="80"/>
    <n v="1"/>
    <n v="23"/>
    <n v="3"/>
    <n v="3"/>
    <n v="22"/>
    <n v="6"/>
    <n v="13"/>
    <n v="7"/>
  </r>
  <r>
    <n v="28"/>
    <x v="2"/>
    <x v="0"/>
    <s v="Travel_Frequently"/>
    <n v="1009"/>
    <x v="1"/>
    <n v="1"/>
    <n v="3"/>
    <x v="2"/>
    <n v="1"/>
    <n v="1111"/>
    <n v="1"/>
    <x v="1"/>
    <n v="45"/>
    <n v="2"/>
    <n v="1"/>
    <x v="2"/>
    <n v="2"/>
    <x v="2"/>
    <n v="2596"/>
    <n v="7160"/>
    <n v="1"/>
    <s v="Y"/>
    <s v="No"/>
    <n v="15"/>
    <n v="3"/>
    <n v="1"/>
    <n v="80"/>
    <n v="2"/>
    <n v="1"/>
    <n v="2"/>
    <n v="3"/>
    <n v="1"/>
    <n v="0"/>
    <n v="0"/>
    <n v="0"/>
  </r>
  <r>
    <n v="50"/>
    <x v="1"/>
    <x v="0"/>
    <s v="Travel_Frequently"/>
    <n v="959"/>
    <x v="0"/>
    <n v="1"/>
    <n v="4"/>
    <x v="1"/>
    <n v="1"/>
    <n v="1113"/>
    <n v="4"/>
    <x v="1"/>
    <n v="81"/>
    <n v="3"/>
    <n v="2"/>
    <x v="0"/>
    <n v="3"/>
    <x v="0"/>
    <n v="4728"/>
    <n v="17251"/>
    <n v="3"/>
    <s v="Y"/>
    <s v="Yes"/>
    <n v="14"/>
    <n v="3"/>
    <n v="4"/>
    <n v="80"/>
    <n v="0"/>
    <n v="5"/>
    <n v="4"/>
    <n v="3"/>
    <n v="0"/>
    <n v="0"/>
    <n v="0"/>
    <n v="0"/>
  </r>
  <r>
    <n v="33"/>
    <x v="2"/>
    <x v="1"/>
    <s v="Travel_Frequently"/>
    <n v="970"/>
    <x v="0"/>
    <n v="7"/>
    <n v="3"/>
    <x v="0"/>
    <n v="1"/>
    <n v="1114"/>
    <n v="4"/>
    <x v="0"/>
    <n v="30"/>
    <n v="3"/>
    <n v="2"/>
    <x v="0"/>
    <n v="2"/>
    <x v="1"/>
    <n v="4302"/>
    <n v="13401"/>
    <n v="0"/>
    <s v="Y"/>
    <s v="No"/>
    <n v="17"/>
    <n v="3"/>
    <n v="3"/>
    <n v="80"/>
    <n v="1"/>
    <n v="4"/>
    <n v="3"/>
    <n v="3"/>
    <n v="3"/>
    <n v="2"/>
    <n v="0"/>
    <n v="2"/>
  </r>
  <r>
    <n v="34"/>
    <x v="2"/>
    <x v="1"/>
    <s v="Non-Travel"/>
    <n v="697"/>
    <x v="1"/>
    <n v="3"/>
    <n v="4"/>
    <x v="0"/>
    <n v="1"/>
    <n v="1115"/>
    <n v="3"/>
    <x v="1"/>
    <n v="40"/>
    <n v="2"/>
    <n v="1"/>
    <x v="1"/>
    <n v="4"/>
    <x v="1"/>
    <n v="2979"/>
    <n v="22478"/>
    <n v="3"/>
    <s v="Y"/>
    <s v="No"/>
    <n v="17"/>
    <n v="3"/>
    <n v="4"/>
    <n v="80"/>
    <n v="3"/>
    <n v="6"/>
    <n v="2"/>
    <n v="3"/>
    <n v="0"/>
    <n v="0"/>
    <n v="0"/>
    <n v="0"/>
  </r>
  <r>
    <n v="48"/>
    <x v="1"/>
    <x v="1"/>
    <s v="Non-Travel"/>
    <n v="1262"/>
    <x v="1"/>
    <n v="1"/>
    <n v="4"/>
    <x v="2"/>
    <n v="1"/>
    <n v="1116"/>
    <n v="1"/>
    <x v="1"/>
    <n v="35"/>
    <n v="4"/>
    <n v="4"/>
    <x v="5"/>
    <n v="4"/>
    <x v="0"/>
    <n v="16885"/>
    <n v="16154"/>
    <n v="2"/>
    <s v="Y"/>
    <s v="No"/>
    <n v="22"/>
    <n v="4"/>
    <n v="3"/>
    <n v="80"/>
    <n v="0"/>
    <n v="27"/>
    <n v="3"/>
    <n v="2"/>
    <n v="5"/>
    <n v="4"/>
    <n v="2"/>
    <n v="1"/>
  </r>
  <r>
    <n v="45"/>
    <x v="0"/>
    <x v="1"/>
    <s v="Non-Travel"/>
    <n v="1050"/>
    <x v="0"/>
    <n v="9"/>
    <n v="4"/>
    <x v="0"/>
    <n v="1"/>
    <n v="1117"/>
    <n v="2"/>
    <x v="0"/>
    <n v="65"/>
    <n v="2"/>
    <n v="2"/>
    <x v="0"/>
    <n v="3"/>
    <x v="1"/>
    <n v="5593"/>
    <n v="17970"/>
    <n v="1"/>
    <s v="Y"/>
    <s v="No"/>
    <n v="13"/>
    <n v="3"/>
    <n v="4"/>
    <n v="80"/>
    <n v="1"/>
    <n v="15"/>
    <n v="2"/>
    <n v="3"/>
    <n v="15"/>
    <n v="10"/>
    <n v="4"/>
    <n v="12"/>
  </r>
  <r>
    <n v="52"/>
    <x v="1"/>
    <x v="1"/>
    <s v="Travel_Rarely"/>
    <n v="994"/>
    <x v="1"/>
    <n v="7"/>
    <n v="4"/>
    <x v="0"/>
    <n v="1"/>
    <n v="1118"/>
    <n v="2"/>
    <x v="1"/>
    <n v="87"/>
    <n v="3"/>
    <n v="3"/>
    <x v="4"/>
    <n v="2"/>
    <x v="0"/>
    <n v="10445"/>
    <n v="15322"/>
    <n v="7"/>
    <s v="Y"/>
    <s v="No"/>
    <n v="19"/>
    <n v="3"/>
    <n v="4"/>
    <n v="80"/>
    <n v="0"/>
    <n v="18"/>
    <n v="4"/>
    <n v="3"/>
    <n v="8"/>
    <n v="6"/>
    <n v="4"/>
    <n v="0"/>
  </r>
  <r>
    <n v="38"/>
    <x v="0"/>
    <x v="1"/>
    <s v="Travel_Rarely"/>
    <n v="770"/>
    <x v="0"/>
    <n v="10"/>
    <n v="4"/>
    <x v="3"/>
    <n v="1"/>
    <n v="1119"/>
    <n v="3"/>
    <x v="1"/>
    <n v="73"/>
    <n v="2"/>
    <n v="3"/>
    <x v="0"/>
    <n v="3"/>
    <x v="2"/>
    <n v="8740"/>
    <n v="5569"/>
    <n v="0"/>
    <s v="Y"/>
    <s v="Yes"/>
    <n v="14"/>
    <n v="3"/>
    <n v="2"/>
    <n v="80"/>
    <n v="2"/>
    <n v="9"/>
    <n v="2"/>
    <n v="3"/>
    <n v="8"/>
    <n v="7"/>
    <n v="2"/>
    <n v="7"/>
  </r>
  <r>
    <n v="29"/>
    <x v="2"/>
    <x v="1"/>
    <s v="Travel_Rarely"/>
    <n v="1107"/>
    <x v="1"/>
    <n v="28"/>
    <n v="4"/>
    <x v="0"/>
    <n v="1"/>
    <n v="1120"/>
    <n v="3"/>
    <x v="0"/>
    <n v="93"/>
    <n v="3"/>
    <n v="1"/>
    <x v="1"/>
    <n v="4"/>
    <x v="2"/>
    <n v="2514"/>
    <n v="26968"/>
    <n v="4"/>
    <s v="Y"/>
    <s v="No"/>
    <n v="22"/>
    <n v="4"/>
    <n v="1"/>
    <n v="80"/>
    <n v="1"/>
    <n v="11"/>
    <n v="1"/>
    <n v="3"/>
    <n v="7"/>
    <n v="5"/>
    <n v="1"/>
    <n v="7"/>
  </r>
  <r>
    <n v="28"/>
    <x v="2"/>
    <x v="1"/>
    <s v="Travel_Rarely"/>
    <n v="950"/>
    <x v="1"/>
    <n v="3"/>
    <n v="3"/>
    <x v="2"/>
    <n v="1"/>
    <n v="1121"/>
    <n v="4"/>
    <x v="0"/>
    <n v="93"/>
    <n v="3"/>
    <n v="3"/>
    <x v="3"/>
    <n v="2"/>
    <x v="2"/>
    <n v="7655"/>
    <n v="8039"/>
    <n v="0"/>
    <s v="Y"/>
    <s v="No"/>
    <n v="17"/>
    <n v="3"/>
    <n v="2"/>
    <n v="80"/>
    <n v="3"/>
    <n v="10"/>
    <n v="3"/>
    <n v="2"/>
    <n v="9"/>
    <n v="7"/>
    <n v="1"/>
    <n v="7"/>
  </r>
  <r>
    <n v="46"/>
    <x v="1"/>
    <x v="1"/>
    <s v="Travel_Rarely"/>
    <n v="406"/>
    <x v="0"/>
    <n v="3"/>
    <n v="1"/>
    <x v="3"/>
    <n v="1"/>
    <n v="1124"/>
    <n v="1"/>
    <x v="1"/>
    <n v="52"/>
    <n v="3"/>
    <n v="4"/>
    <x v="5"/>
    <n v="3"/>
    <x v="1"/>
    <n v="17465"/>
    <n v="15596"/>
    <n v="3"/>
    <s v="Y"/>
    <s v="No"/>
    <n v="12"/>
    <n v="3"/>
    <n v="4"/>
    <n v="80"/>
    <n v="1"/>
    <n v="23"/>
    <n v="3"/>
    <n v="3"/>
    <n v="12"/>
    <n v="9"/>
    <n v="4"/>
    <n v="9"/>
  </r>
  <r>
    <n v="38"/>
    <x v="0"/>
    <x v="1"/>
    <s v="Travel_Rarely"/>
    <n v="130"/>
    <x v="0"/>
    <n v="2"/>
    <n v="2"/>
    <x v="3"/>
    <n v="1"/>
    <n v="1125"/>
    <n v="4"/>
    <x v="1"/>
    <n v="32"/>
    <n v="3"/>
    <n v="3"/>
    <x v="0"/>
    <n v="2"/>
    <x v="0"/>
    <n v="7351"/>
    <n v="20619"/>
    <n v="7"/>
    <s v="Y"/>
    <s v="No"/>
    <n v="16"/>
    <n v="3"/>
    <n v="3"/>
    <n v="80"/>
    <n v="0"/>
    <n v="10"/>
    <n v="2"/>
    <n v="3"/>
    <n v="1"/>
    <n v="0"/>
    <n v="0"/>
    <n v="0"/>
  </r>
  <r>
    <n v="43"/>
    <x v="0"/>
    <x v="1"/>
    <s v="Travel_Frequently"/>
    <n v="1082"/>
    <x v="1"/>
    <n v="27"/>
    <n v="3"/>
    <x v="0"/>
    <n v="1"/>
    <n v="1126"/>
    <n v="3"/>
    <x v="0"/>
    <n v="83"/>
    <n v="3"/>
    <n v="3"/>
    <x v="3"/>
    <n v="1"/>
    <x v="1"/>
    <n v="10820"/>
    <n v="11535"/>
    <n v="8"/>
    <s v="Y"/>
    <s v="No"/>
    <n v="11"/>
    <n v="3"/>
    <n v="3"/>
    <n v="80"/>
    <n v="1"/>
    <n v="18"/>
    <n v="1"/>
    <n v="3"/>
    <n v="8"/>
    <n v="7"/>
    <n v="0"/>
    <n v="1"/>
  </r>
  <r>
    <n v="39"/>
    <x v="0"/>
    <x v="0"/>
    <s v="Travel_Frequently"/>
    <n v="203"/>
    <x v="1"/>
    <n v="2"/>
    <n v="3"/>
    <x v="0"/>
    <n v="1"/>
    <n v="1127"/>
    <n v="1"/>
    <x v="1"/>
    <n v="84"/>
    <n v="3"/>
    <n v="4"/>
    <x v="4"/>
    <n v="4"/>
    <x v="2"/>
    <n v="12169"/>
    <n v="13547"/>
    <n v="7"/>
    <s v="Y"/>
    <s v="No"/>
    <n v="11"/>
    <n v="3"/>
    <n v="4"/>
    <n v="80"/>
    <n v="3"/>
    <n v="21"/>
    <n v="4"/>
    <n v="3"/>
    <n v="18"/>
    <n v="7"/>
    <n v="11"/>
    <n v="5"/>
  </r>
  <r>
    <n v="40"/>
    <x v="0"/>
    <x v="1"/>
    <s v="Travel_Rarely"/>
    <n v="1308"/>
    <x v="1"/>
    <n v="14"/>
    <n v="3"/>
    <x v="2"/>
    <n v="1"/>
    <n v="1128"/>
    <n v="3"/>
    <x v="1"/>
    <n v="44"/>
    <n v="2"/>
    <n v="5"/>
    <x v="7"/>
    <n v="3"/>
    <x v="0"/>
    <n v="19626"/>
    <n v="17544"/>
    <n v="1"/>
    <s v="Y"/>
    <s v="No"/>
    <n v="14"/>
    <n v="3"/>
    <n v="1"/>
    <n v="80"/>
    <n v="0"/>
    <n v="21"/>
    <n v="2"/>
    <n v="4"/>
    <n v="20"/>
    <n v="7"/>
    <n v="4"/>
    <n v="9"/>
  </r>
  <r>
    <n v="21"/>
    <x v="3"/>
    <x v="1"/>
    <s v="Travel_Rarely"/>
    <n v="984"/>
    <x v="1"/>
    <n v="1"/>
    <n v="1"/>
    <x v="4"/>
    <n v="1"/>
    <n v="1131"/>
    <n v="4"/>
    <x v="0"/>
    <n v="70"/>
    <n v="2"/>
    <n v="1"/>
    <x v="1"/>
    <n v="2"/>
    <x v="0"/>
    <n v="2070"/>
    <n v="25326"/>
    <n v="1"/>
    <s v="Y"/>
    <s v="Yes"/>
    <n v="11"/>
    <n v="3"/>
    <n v="3"/>
    <n v="80"/>
    <n v="0"/>
    <n v="2"/>
    <n v="6"/>
    <n v="4"/>
    <n v="2"/>
    <n v="2"/>
    <n v="2"/>
    <n v="2"/>
  </r>
  <r>
    <n v="39"/>
    <x v="0"/>
    <x v="1"/>
    <s v="Non-Travel"/>
    <n v="439"/>
    <x v="1"/>
    <n v="9"/>
    <n v="3"/>
    <x v="0"/>
    <n v="1"/>
    <n v="1132"/>
    <n v="3"/>
    <x v="1"/>
    <n v="70"/>
    <n v="3"/>
    <n v="2"/>
    <x v="2"/>
    <n v="2"/>
    <x v="0"/>
    <n v="6782"/>
    <n v="8770"/>
    <n v="9"/>
    <s v="Y"/>
    <s v="No"/>
    <n v="15"/>
    <n v="3"/>
    <n v="3"/>
    <n v="80"/>
    <n v="0"/>
    <n v="9"/>
    <n v="2"/>
    <n v="2"/>
    <n v="5"/>
    <n v="4"/>
    <n v="0"/>
    <n v="3"/>
  </r>
  <r>
    <n v="36"/>
    <x v="0"/>
    <x v="1"/>
    <s v="Non-Travel"/>
    <n v="217"/>
    <x v="1"/>
    <n v="18"/>
    <n v="4"/>
    <x v="0"/>
    <n v="1"/>
    <n v="1133"/>
    <n v="1"/>
    <x v="1"/>
    <n v="78"/>
    <n v="3"/>
    <n v="2"/>
    <x v="3"/>
    <n v="4"/>
    <x v="0"/>
    <n v="7779"/>
    <n v="23238"/>
    <n v="2"/>
    <s v="Y"/>
    <s v="No"/>
    <n v="20"/>
    <n v="4"/>
    <n v="1"/>
    <n v="80"/>
    <n v="0"/>
    <n v="18"/>
    <n v="0"/>
    <n v="3"/>
    <n v="11"/>
    <n v="9"/>
    <n v="0"/>
    <n v="9"/>
  </r>
  <r>
    <n v="31"/>
    <x v="2"/>
    <x v="1"/>
    <s v="Travel_Frequently"/>
    <n v="793"/>
    <x v="0"/>
    <n v="20"/>
    <n v="3"/>
    <x v="0"/>
    <n v="1"/>
    <n v="1135"/>
    <n v="3"/>
    <x v="1"/>
    <n v="67"/>
    <n v="4"/>
    <n v="1"/>
    <x v="6"/>
    <n v="4"/>
    <x v="1"/>
    <n v="2791"/>
    <n v="21981"/>
    <n v="0"/>
    <s v="Y"/>
    <s v="No"/>
    <n v="12"/>
    <n v="3"/>
    <n v="1"/>
    <n v="80"/>
    <n v="1"/>
    <n v="3"/>
    <n v="4"/>
    <n v="3"/>
    <n v="2"/>
    <n v="2"/>
    <n v="2"/>
    <n v="2"/>
  </r>
  <r>
    <n v="28"/>
    <x v="2"/>
    <x v="1"/>
    <s v="Travel_Rarely"/>
    <n v="1451"/>
    <x v="1"/>
    <n v="2"/>
    <n v="1"/>
    <x v="0"/>
    <n v="1"/>
    <n v="1136"/>
    <n v="1"/>
    <x v="1"/>
    <n v="67"/>
    <n v="2"/>
    <n v="1"/>
    <x v="1"/>
    <n v="2"/>
    <x v="1"/>
    <n v="3201"/>
    <n v="19911"/>
    <n v="0"/>
    <s v="Y"/>
    <s v="No"/>
    <n v="17"/>
    <n v="3"/>
    <n v="1"/>
    <n v="80"/>
    <n v="0"/>
    <n v="6"/>
    <n v="2"/>
    <n v="1"/>
    <n v="5"/>
    <n v="3"/>
    <n v="0"/>
    <n v="4"/>
  </r>
  <r>
    <n v="35"/>
    <x v="2"/>
    <x v="1"/>
    <s v="Travel_Frequently"/>
    <n v="1182"/>
    <x v="0"/>
    <n v="11"/>
    <n v="2"/>
    <x v="3"/>
    <n v="1"/>
    <n v="1137"/>
    <n v="4"/>
    <x v="1"/>
    <n v="54"/>
    <n v="3"/>
    <n v="2"/>
    <x v="0"/>
    <n v="4"/>
    <x v="2"/>
    <n v="4968"/>
    <n v="18500"/>
    <n v="1"/>
    <s v="Y"/>
    <s v="No"/>
    <n v="11"/>
    <n v="3"/>
    <n v="4"/>
    <n v="80"/>
    <n v="1"/>
    <n v="5"/>
    <n v="3"/>
    <n v="3"/>
    <n v="5"/>
    <n v="2"/>
    <n v="0"/>
    <n v="2"/>
  </r>
  <r>
    <n v="49"/>
    <x v="1"/>
    <x v="1"/>
    <s v="Travel_Rarely"/>
    <n v="174"/>
    <x v="0"/>
    <n v="8"/>
    <n v="4"/>
    <x v="4"/>
    <n v="1"/>
    <n v="1138"/>
    <n v="4"/>
    <x v="1"/>
    <n v="56"/>
    <n v="2"/>
    <n v="4"/>
    <x v="0"/>
    <n v="2"/>
    <x v="1"/>
    <n v="13120"/>
    <n v="11879"/>
    <n v="6"/>
    <s v="Y"/>
    <s v="No"/>
    <n v="17"/>
    <n v="3"/>
    <n v="2"/>
    <n v="80"/>
    <n v="1"/>
    <n v="22"/>
    <n v="3"/>
    <n v="3"/>
    <n v="9"/>
    <n v="8"/>
    <n v="2"/>
    <n v="3"/>
  </r>
  <r>
    <n v="34"/>
    <x v="2"/>
    <x v="1"/>
    <s v="Travel_Frequently"/>
    <n v="1003"/>
    <x v="1"/>
    <n v="2"/>
    <n v="2"/>
    <x v="0"/>
    <n v="1"/>
    <n v="1140"/>
    <n v="4"/>
    <x v="1"/>
    <n v="95"/>
    <n v="3"/>
    <n v="2"/>
    <x v="3"/>
    <n v="3"/>
    <x v="0"/>
    <n v="4033"/>
    <n v="15834"/>
    <n v="2"/>
    <s v="Y"/>
    <s v="No"/>
    <n v="11"/>
    <n v="3"/>
    <n v="4"/>
    <n v="80"/>
    <n v="0"/>
    <n v="5"/>
    <n v="3"/>
    <n v="2"/>
    <n v="3"/>
    <n v="2"/>
    <n v="0"/>
    <n v="2"/>
  </r>
  <r>
    <n v="29"/>
    <x v="2"/>
    <x v="1"/>
    <s v="Travel_Frequently"/>
    <n v="490"/>
    <x v="1"/>
    <n v="10"/>
    <n v="3"/>
    <x v="0"/>
    <n v="1"/>
    <n v="1143"/>
    <n v="4"/>
    <x v="0"/>
    <n v="61"/>
    <n v="3"/>
    <n v="1"/>
    <x v="1"/>
    <n v="2"/>
    <x v="2"/>
    <n v="3291"/>
    <n v="17940"/>
    <n v="0"/>
    <s v="Y"/>
    <s v="No"/>
    <n v="14"/>
    <n v="3"/>
    <n v="4"/>
    <n v="80"/>
    <n v="2"/>
    <n v="8"/>
    <n v="2"/>
    <n v="2"/>
    <n v="7"/>
    <n v="5"/>
    <n v="1"/>
    <n v="1"/>
  </r>
  <r>
    <n v="42"/>
    <x v="0"/>
    <x v="1"/>
    <s v="Travel_Rarely"/>
    <n v="188"/>
    <x v="1"/>
    <n v="29"/>
    <n v="3"/>
    <x v="2"/>
    <n v="1"/>
    <n v="1148"/>
    <n v="2"/>
    <x v="1"/>
    <n v="56"/>
    <n v="1"/>
    <n v="2"/>
    <x v="2"/>
    <n v="4"/>
    <x v="0"/>
    <n v="4272"/>
    <n v="9558"/>
    <n v="4"/>
    <s v="Y"/>
    <s v="No"/>
    <n v="19"/>
    <n v="3"/>
    <n v="1"/>
    <n v="80"/>
    <n v="0"/>
    <n v="16"/>
    <n v="3"/>
    <n v="3"/>
    <n v="1"/>
    <n v="0"/>
    <n v="0"/>
    <n v="0"/>
  </r>
  <r>
    <n v="29"/>
    <x v="2"/>
    <x v="1"/>
    <s v="Travel_Rarely"/>
    <n v="718"/>
    <x v="1"/>
    <n v="8"/>
    <n v="1"/>
    <x v="2"/>
    <n v="1"/>
    <n v="1150"/>
    <n v="2"/>
    <x v="1"/>
    <n v="79"/>
    <n v="2"/>
    <n v="2"/>
    <x v="3"/>
    <n v="4"/>
    <x v="1"/>
    <n v="5056"/>
    <n v="17689"/>
    <n v="1"/>
    <s v="Y"/>
    <s v="Yes"/>
    <n v="15"/>
    <n v="3"/>
    <n v="3"/>
    <n v="80"/>
    <n v="1"/>
    <n v="10"/>
    <n v="2"/>
    <n v="2"/>
    <n v="10"/>
    <n v="7"/>
    <n v="1"/>
    <n v="2"/>
  </r>
  <r>
    <n v="38"/>
    <x v="0"/>
    <x v="1"/>
    <s v="Travel_Rarely"/>
    <n v="433"/>
    <x v="2"/>
    <n v="1"/>
    <n v="3"/>
    <x v="5"/>
    <n v="1"/>
    <n v="1152"/>
    <n v="3"/>
    <x v="1"/>
    <n v="37"/>
    <n v="4"/>
    <n v="1"/>
    <x v="8"/>
    <n v="3"/>
    <x v="1"/>
    <n v="2844"/>
    <n v="6004"/>
    <n v="1"/>
    <s v="Y"/>
    <s v="No"/>
    <n v="13"/>
    <n v="3"/>
    <n v="4"/>
    <n v="80"/>
    <n v="1"/>
    <n v="7"/>
    <n v="2"/>
    <n v="4"/>
    <n v="7"/>
    <n v="6"/>
    <n v="5"/>
    <n v="0"/>
  </r>
  <r>
    <n v="28"/>
    <x v="2"/>
    <x v="1"/>
    <s v="Travel_Frequently"/>
    <n v="773"/>
    <x v="1"/>
    <n v="6"/>
    <n v="3"/>
    <x v="0"/>
    <n v="1"/>
    <n v="1154"/>
    <n v="3"/>
    <x v="1"/>
    <n v="39"/>
    <n v="2"/>
    <n v="1"/>
    <x v="1"/>
    <n v="3"/>
    <x v="2"/>
    <n v="2703"/>
    <n v="22088"/>
    <n v="1"/>
    <s v="Y"/>
    <s v="Yes"/>
    <n v="14"/>
    <n v="3"/>
    <n v="4"/>
    <n v="80"/>
    <n v="1"/>
    <n v="3"/>
    <n v="2"/>
    <n v="3"/>
    <n v="3"/>
    <n v="1"/>
    <n v="0"/>
    <n v="2"/>
  </r>
  <r>
    <n v="18"/>
    <x v="3"/>
    <x v="0"/>
    <s v="Non-Travel"/>
    <n v="247"/>
    <x v="1"/>
    <n v="8"/>
    <n v="1"/>
    <x v="2"/>
    <n v="1"/>
    <n v="1156"/>
    <n v="3"/>
    <x v="1"/>
    <n v="80"/>
    <n v="3"/>
    <n v="1"/>
    <x v="2"/>
    <n v="3"/>
    <x v="0"/>
    <n v="1904"/>
    <n v="13556"/>
    <n v="1"/>
    <s v="Y"/>
    <s v="No"/>
    <n v="12"/>
    <n v="3"/>
    <n v="4"/>
    <n v="80"/>
    <n v="0"/>
    <n v="0"/>
    <n v="0"/>
    <n v="3"/>
    <n v="0"/>
    <n v="0"/>
    <n v="0"/>
    <n v="0"/>
  </r>
  <r>
    <n v="33"/>
    <x v="2"/>
    <x v="0"/>
    <s v="Travel_Rarely"/>
    <n v="603"/>
    <x v="0"/>
    <n v="9"/>
    <n v="4"/>
    <x v="3"/>
    <n v="1"/>
    <n v="1157"/>
    <n v="1"/>
    <x v="0"/>
    <n v="77"/>
    <n v="3"/>
    <n v="2"/>
    <x v="0"/>
    <n v="1"/>
    <x v="0"/>
    <n v="8224"/>
    <n v="18385"/>
    <n v="0"/>
    <s v="Y"/>
    <s v="Yes"/>
    <n v="17"/>
    <n v="3"/>
    <n v="1"/>
    <n v="80"/>
    <n v="0"/>
    <n v="6"/>
    <n v="3"/>
    <n v="3"/>
    <n v="5"/>
    <n v="2"/>
    <n v="0"/>
    <n v="3"/>
  </r>
  <r>
    <n v="41"/>
    <x v="0"/>
    <x v="1"/>
    <s v="Travel_Rarely"/>
    <n v="167"/>
    <x v="1"/>
    <n v="12"/>
    <n v="4"/>
    <x v="0"/>
    <n v="1"/>
    <n v="1158"/>
    <n v="2"/>
    <x v="1"/>
    <n v="46"/>
    <n v="3"/>
    <n v="1"/>
    <x v="2"/>
    <n v="4"/>
    <x v="1"/>
    <n v="4766"/>
    <n v="9051"/>
    <n v="3"/>
    <s v="Y"/>
    <s v="Yes"/>
    <n v="11"/>
    <n v="3"/>
    <n v="1"/>
    <n v="80"/>
    <n v="1"/>
    <n v="6"/>
    <n v="4"/>
    <n v="3"/>
    <n v="1"/>
    <n v="0"/>
    <n v="0"/>
    <n v="0"/>
  </r>
  <r>
    <n v="31"/>
    <x v="2"/>
    <x v="0"/>
    <s v="Travel_Frequently"/>
    <n v="874"/>
    <x v="1"/>
    <n v="15"/>
    <n v="3"/>
    <x v="2"/>
    <n v="1"/>
    <n v="1160"/>
    <n v="3"/>
    <x v="1"/>
    <n v="72"/>
    <n v="3"/>
    <n v="1"/>
    <x v="2"/>
    <n v="3"/>
    <x v="1"/>
    <n v="2610"/>
    <n v="6233"/>
    <n v="1"/>
    <s v="Y"/>
    <s v="No"/>
    <n v="12"/>
    <n v="3"/>
    <n v="3"/>
    <n v="80"/>
    <n v="1"/>
    <n v="2"/>
    <n v="5"/>
    <n v="2"/>
    <n v="2"/>
    <n v="2"/>
    <n v="2"/>
    <n v="2"/>
  </r>
  <r>
    <n v="37"/>
    <x v="0"/>
    <x v="1"/>
    <s v="Travel_Rarely"/>
    <n v="367"/>
    <x v="1"/>
    <n v="25"/>
    <n v="2"/>
    <x v="2"/>
    <n v="1"/>
    <n v="1161"/>
    <n v="3"/>
    <x v="0"/>
    <n v="52"/>
    <n v="2"/>
    <n v="2"/>
    <x v="4"/>
    <n v="4"/>
    <x v="2"/>
    <n v="5731"/>
    <n v="17171"/>
    <n v="7"/>
    <s v="Y"/>
    <s v="No"/>
    <n v="13"/>
    <n v="3"/>
    <n v="3"/>
    <n v="80"/>
    <n v="2"/>
    <n v="9"/>
    <n v="2"/>
    <n v="3"/>
    <n v="6"/>
    <n v="2"/>
    <n v="1"/>
    <n v="3"/>
  </r>
  <r>
    <n v="27"/>
    <x v="2"/>
    <x v="1"/>
    <s v="Travel_Rarely"/>
    <n v="199"/>
    <x v="1"/>
    <n v="6"/>
    <n v="3"/>
    <x v="0"/>
    <n v="1"/>
    <n v="1162"/>
    <n v="4"/>
    <x v="1"/>
    <n v="55"/>
    <n v="2"/>
    <n v="1"/>
    <x v="1"/>
    <n v="3"/>
    <x v="1"/>
    <n v="2539"/>
    <n v="7950"/>
    <n v="1"/>
    <s v="Y"/>
    <s v="No"/>
    <n v="13"/>
    <n v="3"/>
    <n v="3"/>
    <n v="80"/>
    <n v="1"/>
    <n v="4"/>
    <n v="0"/>
    <n v="3"/>
    <n v="4"/>
    <n v="2"/>
    <n v="2"/>
    <n v="2"/>
  </r>
  <r>
    <n v="34"/>
    <x v="2"/>
    <x v="1"/>
    <s v="Travel_Rarely"/>
    <n v="1400"/>
    <x v="0"/>
    <n v="9"/>
    <n v="1"/>
    <x v="0"/>
    <n v="1"/>
    <n v="1163"/>
    <n v="2"/>
    <x v="0"/>
    <n v="70"/>
    <n v="3"/>
    <n v="2"/>
    <x v="0"/>
    <n v="3"/>
    <x v="1"/>
    <n v="5714"/>
    <n v="5829"/>
    <n v="1"/>
    <s v="Y"/>
    <s v="No"/>
    <n v="20"/>
    <n v="4"/>
    <n v="1"/>
    <n v="80"/>
    <n v="0"/>
    <n v="6"/>
    <n v="3"/>
    <n v="2"/>
    <n v="6"/>
    <n v="5"/>
    <n v="1"/>
    <n v="3"/>
  </r>
  <r>
    <n v="35"/>
    <x v="2"/>
    <x v="1"/>
    <s v="Travel_Rarely"/>
    <n v="528"/>
    <x v="2"/>
    <n v="8"/>
    <n v="4"/>
    <x v="4"/>
    <n v="1"/>
    <n v="1164"/>
    <n v="3"/>
    <x v="1"/>
    <n v="100"/>
    <n v="3"/>
    <n v="1"/>
    <x v="8"/>
    <n v="3"/>
    <x v="0"/>
    <n v="4323"/>
    <n v="7108"/>
    <n v="1"/>
    <s v="Y"/>
    <s v="No"/>
    <n v="17"/>
    <n v="3"/>
    <n v="2"/>
    <n v="80"/>
    <n v="0"/>
    <n v="6"/>
    <n v="2"/>
    <n v="1"/>
    <n v="5"/>
    <n v="4"/>
    <n v="1"/>
    <n v="4"/>
  </r>
  <r>
    <n v="29"/>
    <x v="2"/>
    <x v="0"/>
    <s v="Travel_Rarely"/>
    <n v="408"/>
    <x v="0"/>
    <n v="23"/>
    <n v="1"/>
    <x v="0"/>
    <n v="1"/>
    <n v="1165"/>
    <n v="4"/>
    <x v="0"/>
    <n v="45"/>
    <n v="2"/>
    <n v="3"/>
    <x v="0"/>
    <n v="1"/>
    <x v="1"/>
    <n v="7336"/>
    <n v="11162"/>
    <n v="1"/>
    <s v="Y"/>
    <s v="No"/>
    <n v="13"/>
    <n v="3"/>
    <n v="1"/>
    <n v="80"/>
    <n v="1"/>
    <n v="11"/>
    <n v="3"/>
    <n v="1"/>
    <n v="11"/>
    <n v="8"/>
    <n v="3"/>
    <n v="10"/>
  </r>
  <r>
    <n v="40"/>
    <x v="0"/>
    <x v="1"/>
    <s v="Travel_Frequently"/>
    <n v="593"/>
    <x v="1"/>
    <n v="9"/>
    <n v="4"/>
    <x v="2"/>
    <n v="1"/>
    <n v="1166"/>
    <n v="2"/>
    <x v="0"/>
    <n v="88"/>
    <n v="3"/>
    <n v="3"/>
    <x v="7"/>
    <n v="3"/>
    <x v="0"/>
    <n v="13499"/>
    <n v="13782"/>
    <n v="9"/>
    <s v="Y"/>
    <s v="No"/>
    <n v="17"/>
    <n v="3"/>
    <n v="3"/>
    <n v="80"/>
    <n v="0"/>
    <n v="20"/>
    <n v="3"/>
    <n v="2"/>
    <n v="18"/>
    <n v="7"/>
    <n v="2"/>
    <n v="13"/>
  </r>
  <r>
    <n v="42"/>
    <x v="0"/>
    <x v="0"/>
    <s v="Travel_Frequently"/>
    <n v="481"/>
    <x v="0"/>
    <n v="12"/>
    <n v="3"/>
    <x v="0"/>
    <n v="1"/>
    <n v="1167"/>
    <n v="3"/>
    <x v="1"/>
    <n v="44"/>
    <n v="3"/>
    <n v="4"/>
    <x v="0"/>
    <n v="1"/>
    <x v="0"/>
    <n v="13758"/>
    <n v="2447"/>
    <n v="0"/>
    <s v="Y"/>
    <s v="Yes"/>
    <n v="12"/>
    <n v="3"/>
    <n v="2"/>
    <n v="80"/>
    <n v="0"/>
    <n v="22"/>
    <n v="2"/>
    <n v="2"/>
    <n v="21"/>
    <n v="9"/>
    <n v="13"/>
    <n v="14"/>
  </r>
  <r>
    <n v="42"/>
    <x v="0"/>
    <x v="1"/>
    <s v="Travel_Rarely"/>
    <n v="647"/>
    <x v="0"/>
    <n v="4"/>
    <n v="4"/>
    <x v="3"/>
    <n v="1"/>
    <n v="1171"/>
    <n v="2"/>
    <x v="1"/>
    <n v="45"/>
    <n v="3"/>
    <n v="2"/>
    <x v="0"/>
    <n v="1"/>
    <x v="0"/>
    <n v="5155"/>
    <n v="2253"/>
    <n v="7"/>
    <s v="Y"/>
    <s v="No"/>
    <n v="13"/>
    <n v="3"/>
    <n v="4"/>
    <n v="80"/>
    <n v="0"/>
    <n v="9"/>
    <n v="3"/>
    <n v="4"/>
    <n v="6"/>
    <n v="4"/>
    <n v="1"/>
    <n v="5"/>
  </r>
  <r>
    <n v="35"/>
    <x v="2"/>
    <x v="1"/>
    <s v="Travel_Rarely"/>
    <n v="982"/>
    <x v="1"/>
    <n v="1"/>
    <n v="4"/>
    <x v="2"/>
    <n v="1"/>
    <n v="1172"/>
    <n v="4"/>
    <x v="1"/>
    <n v="58"/>
    <n v="2"/>
    <n v="1"/>
    <x v="2"/>
    <n v="3"/>
    <x v="1"/>
    <n v="2258"/>
    <n v="16340"/>
    <n v="6"/>
    <s v="Y"/>
    <s v="No"/>
    <n v="12"/>
    <n v="3"/>
    <n v="2"/>
    <n v="80"/>
    <n v="1"/>
    <n v="10"/>
    <n v="2"/>
    <n v="3"/>
    <n v="8"/>
    <n v="0"/>
    <n v="1"/>
    <n v="7"/>
  </r>
  <r>
    <n v="24"/>
    <x v="3"/>
    <x v="1"/>
    <s v="Travel_Rarely"/>
    <n v="477"/>
    <x v="1"/>
    <n v="24"/>
    <n v="3"/>
    <x v="2"/>
    <n v="1"/>
    <n v="1173"/>
    <n v="4"/>
    <x v="1"/>
    <n v="49"/>
    <n v="3"/>
    <n v="1"/>
    <x v="2"/>
    <n v="2"/>
    <x v="0"/>
    <n v="3597"/>
    <n v="6409"/>
    <n v="8"/>
    <s v="Y"/>
    <s v="No"/>
    <n v="22"/>
    <n v="4"/>
    <n v="4"/>
    <n v="80"/>
    <n v="0"/>
    <n v="6"/>
    <n v="2"/>
    <n v="3"/>
    <n v="4"/>
    <n v="3"/>
    <n v="1"/>
    <n v="2"/>
  </r>
  <r>
    <n v="28"/>
    <x v="2"/>
    <x v="0"/>
    <s v="Travel_Rarely"/>
    <n v="1485"/>
    <x v="1"/>
    <n v="12"/>
    <n v="1"/>
    <x v="0"/>
    <n v="1"/>
    <n v="1175"/>
    <n v="3"/>
    <x v="0"/>
    <n v="79"/>
    <n v="3"/>
    <n v="1"/>
    <x v="2"/>
    <n v="4"/>
    <x v="1"/>
    <n v="2515"/>
    <n v="22955"/>
    <n v="1"/>
    <s v="Y"/>
    <s v="Yes"/>
    <n v="11"/>
    <n v="3"/>
    <n v="4"/>
    <n v="80"/>
    <n v="0"/>
    <n v="1"/>
    <n v="4"/>
    <n v="2"/>
    <n v="1"/>
    <n v="1"/>
    <n v="0"/>
    <n v="0"/>
  </r>
  <r>
    <n v="26"/>
    <x v="2"/>
    <x v="1"/>
    <s v="Travel_Rarely"/>
    <n v="1384"/>
    <x v="1"/>
    <n v="3"/>
    <n v="4"/>
    <x v="2"/>
    <n v="1"/>
    <n v="1177"/>
    <n v="1"/>
    <x v="1"/>
    <n v="82"/>
    <n v="4"/>
    <n v="1"/>
    <x v="2"/>
    <n v="4"/>
    <x v="1"/>
    <n v="4420"/>
    <n v="13421"/>
    <n v="1"/>
    <s v="Y"/>
    <s v="No"/>
    <n v="22"/>
    <n v="4"/>
    <n v="2"/>
    <n v="80"/>
    <n v="1"/>
    <n v="8"/>
    <n v="2"/>
    <n v="3"/>
    <n v="8"/>
    <n v="7"/>
    <n v="0"/>
    <n v="7"/>
  </r>
  <r>
    <n v="30"/>
    <x v="2"/>
    <x v="1"/>
    <s v="Travel_Rarely"/>
    <n v="852"/>
    <x v="0"/>
    <n v="10"/>
    <n v="3"/>
    <x v="3"/>
    <n v="1"/>
    <n v="1179"/>
    <n v="3"/>
    <x v="1"/>
    <n v="72"/>
    <n v="2"/>
    <n v="2"/>
    <x v="0"/>
    <n v="3"/>
    <x v="1"/>
    <n v="6578"/>
    <n v="2706"/>
    <n v="1"/>
    <s v="Y"/>
    <s v="No"/>
    <n v="18"/>
    <n v="3"/>
    <n v="1"/>
    <n v="80"/>
    <n v="1"/>
    <n v="10"/>
    <n v="3"/>
    <n v="3"/>
    <n v="10"/>
    <n v="3"/>
    <n v="1"/>
    <n v="4"/>
  </r>
  <r>
    <n v="40"/>
    <x v="0"/>
    <x v="1"/>
    <s v="Travel_Frequently"/>
    <n v="902"/>
    <x v="1"/>
    <n v="26"/>
    <n v="2"/>
    <x v="2"/>
    <n v="1"/>
    <n v="1180"/>
    <n v="3"/>
    <x v="0"/>
    <n v="92"/>
    <n v="2"/>
    <n v="2"/>
    <x v="1"/>
    <n v="4"/>
    <x v="1"/>
    <n v="4422"/>
    <n v="21203"/>
    <n v="3"/>
    <s v="Y"/>
    <s v="Yes"/>
    <n v="13"/>
    <n v="3"/>
    <n v="4"/>
    <n v="80"/>
    <n v="1"/>
    <n v="16"/>
    <n v="3"/>
    <n v="1"/>
    <n v="1"/>
    <n v="1"/>
    <n v="0"/>
    <n v="0"/>
  </r>
  <r>
    <n v="35"/>
    <x v="2"/>
    <x v="1"/>
    <s v="Travel_Rarely"/>
    <n v="819"/>
    <x v="1"/>
    <n v="2"/>
    <n v="3"/>
    <x v="0"/>
    <n v="1"/>
    <n v="1182"/>
    <n v="3"/>
    <x v="1"/>
    <n v="44"/>
    <n v="2"/>
    <n v="3"/>
    <x v="3"/>
    <n v="2"/>
    <x v="2"/>
    <n v="10274"/>
    <n v="19588"/>
    <n v="2"/>
    <s v="Y"/>
    <s v="No"/>
    <n v="18"/>
    <n v="3"/>
    <n v="2"/>
    <n v="80"/>
    <n v="1"/>
    <n v="15"/>
    <n v="2"/>
    <n v="4"/>
    <n v="7"/>
    <n v="7"/>
    <n v="6"/>
    <n v="4"/>
  </r>
  <r>
    <n v="34"/>
    <x v="2"/>
    <x v="1"/>
    <s v="Travel_Frequently"/>
    <n v="669"/>
    <x v="1"/>
    <n v="1"/>
    <n v="3"/>
    <x v="2"/>
    <n v="1"/>
    <n v="1184"/>
    <n v="4"/>
    <x v="1"/>
    <n v="97"/>
    <n v="2"/>
    <n v="2"/>
    <x v="4"/>
    <n v="1"/>
    <x v="0"/>
    <n v="5343"/>
    <n v="25755"/>
    <n v="0"/>
    <s v="Y"/>
    <s v="No"/>
    <n v="20"/>
    <n v="4"/>
    <n v="3"/>
    <n v="80"/>
    <n v="0"/>
    <n v="14"/>
    <n v="3"/>
    <n v="3"/>
    <n v="13"/>
    <n v="9"/>
    <n v="4"/>
    <n v="9"/>
  </r>
  <r>
    <n v="35"/>
    <x v="2"/>
    <x v="1"/>
    <s v="Travel_Frequently"/>
    <n v="636"/>
    <x v="1"/>
    <n v="4"/>
    <n v="4"/>
    <x v="1"/>
    <n v="1"/>
    <n v="1185"/>
    <n v="4"/>
    <x v="1"/>
    <n v="47"/>
    <n v="2"/>
    <n v="1"/>
    <x v="2"/>
    <n v="4"/>
    <x v="1"/>
    <n v="2376"/>
    <n v="26537"/>
    <n v="1"/>
    <s v="Y"/>
    <s v="No"/>
    <n v="13"/>
    <n v="3"/>
    <n v="2"/>
    <n v="80"/>
    <n v="1"/>
    <n v="2"/>
    <n v="2"/>
    <n v="4"/>
    <n v="2"/>
    <n v="2"/>
    <n v="2"/>
    <n v="2"/>
  </r>
  <r>
    <n v="43"/>
    <x v="0"/>
    <x v="0"/>
    <s v="Travel_Rarely"/>
    <n v="1372"/>
    <x v="0"/>
    <n v="9"/>
    <n v="3"/>
    <x v="3"/>
    <n v="1"/>
    <n v="1188"/>
    <n v="1"/>
    <x v="0"/>
    <n v="85"/>
    <n v="1"/>
    <n v="2"/>
    <x v="0"/>
    <n v="3"/>
    <x v="0"/>
    <n v="5346"/>
    <n v="9489"/>
    <n v="8"/>
    <s v="Y"/>
    <s v="No"/>
    <n v="13"/>
    <n v="3"/>
    <n v="2"/>
    <n v="80"/>
    <n v="0"/>
    <n v="7"/>
    <n v="2"/>
    <n v="2"/>
    <n v="4"/>
    <n v="3"/>
    <n v="1"/>
    <n v="3"/>
  </r>
  <r>
    <n v="32"/>
    <x v="2"/>
    <x v="1"/>
    <s v="Non-Travel"/>
    <n v="862"/>
    <x v="0"/>
    <n v="2"/>
    <n v="1"/>
    <x v="0"/>
    <n v="1"/>
    <n v="1190"/>
    <n v="3"/>
    <x v="0"/>
    <n v="76"/>
    <n v="3"/>
    <n v="1"/>
    <x v="6"/>
    <n v="1"/>
    <x v="2"/>
    <n v="2827"/>
    <n v="14947"/>
    <n v="1"/>
    <s v="Y"/>
    <s v="No"/>
    <n v="12"/>
    <n v="3"/>
    <n v="3"/>
    <n v="80"/>
    <n v="3"/>
    <n v="1"/>
    <n v="3"/>
    <n v="3"/>
    <n v="1"/>
    <n v="0"/>
    <n v="0"/>
    <n v="0"/>
  </r>
  <r>
    <n v="56"/>
    <x v="1"/>
    <x v="1"/>
    <s v="Travel_Rarely"/>
    <n v="718"/>
    <x v="1"/>
    <n v="4"/>
    <n v="4"/>
    <x v="4"/>
    <n v="1"/>
    <n v="1191"/>
    <n v="4"/>
    <x v="0"/>
    <n v="92"/>
    <n v="3"/>
    <n v="5"/>
    <x v="5"/>
    <n v="1"/>
    <x v="2"/>
    <n v="19943"/>
    <n v="18575"/>
    <n v="4"/>
    <s v="Y"/>
    <s v="No"/>
    <n v="13"/>
    <n v="3"/>
    <n v="4"/>
    <n v="80"/>
    <n v="1"/>
    <n v="28"/>
    <n v="2"/>
    <n v="3"/>
    <n v="5"/>
    <n v="2"/>
    <n v="4"/>
    <n v="2"/>
  </r>
  <r>
    <n v="29"/>
    <x v="2"/>
    <x v="1"/>
    <s v="Travel_Rarely"/>
    <n v="1401"/>
    <x v="1"/>
    <n v="6"/>
    <n v="1"/>
    <x v="2"/>
    <n v="1"/>
    <n v="1192"/>
    <n v="2"/>
    <x v="0"/>
    <n v="54"/>
    <n v="3"/>
    <n v="1"/>
    <x v="2"/>
    <n v="4"/>
    <x v="1"/>
    <n v="3131"/>
    <n v="26342"/>
    <n v="1"/>
    <s v="Y"/>
    <s v="No"/>
    <n v="13"/>
    <n v="3"/>
    <n v="1"/>
    <n v="80"/>
    <n v="1"/>
    <n v="10"/>
    <n v="5"/>
    <n v="3"/>
    <n v="10"/>
    <n v="8"/>
    <n v="0"/>
    <n v="8"/>
  </r>
  <r>
    <n v="19"/>
    <x v="3"/>
    <x v="1"/>
    <s v="Travel_Rarely"/>
    <n v="645"/>
    <x v="1"/>
    <n v="9"/>
    <n v="2"/>
    <x v="0"/>
    <n v="1"/>
    <n v="1193"/>
    <n v="3"/>
    <x v="1"/>
    <n v="54"/>
    <n v="3"/>
    <n v="1"/>
    <x v="1"/>
    <n v="1"/>
    <x v="0"/>
    <n v="2552"/>
    <n v="7172"/>
    <n v="1"/>
    <s v="Y"/>
    <s v="No"/>
    <n v="25"/>
    <n v="4"/>
    <n v="3"/>
    <n v="80"/>
    <n v="0"/>
    <n v="1"/>
    <n v="4"/>
    <n v="3"/>
    <n v="1"/>
    <n v="1"/>
    <n v="0"/>
    <n v="0"/>
  </r>
  <r>
    <n v="45"/>
    <x v="0"/>
    <x v="1"/>
    <s v="Travel_Rarely"/>
    <n v="1457"/>
    <x v="1"/>
    <n v="7"/>
    <n v="3"/>
    <x v="2"/>
    <n v="1"/>
    <n v="1195"/>
    <n v="1"/>
    <x v="0"/>
    <n v="83"/>
    <n v="3"/>
    <n v="1"/>
    <x v="1"/>
    <n v="3"/>
    <x v="1"/>
    <n v="4477"/>
    <n v="20100"/>
    <n v="4"/>
    <s v="Y"/>
    <s v="Yes"/>
    <n v="19"/>
    <n v="3"/>
    <n v="3"/>
    <n v="80"/>
    <n v="1"/>
    <n v="7"/>
    <n v="2"/>
    <n v="2"/>
    <n v="3"/>
    <n v="2"/>
    <n v="0"/>
    <n v="2"/>
  </r>
  <r>
    <n v="37"/>
    <x v="0"/>
    <x v="1"/>
    <s v="Travel_Rarely"/>
    <n v="977"/>
    <x v="1"/>
    <n v="1"/>
    <n v="3"/>
    <x v="0"/>
    <n v="1"/>
    <n v="1196"/>
    <n v="4"/>
    <x v="0"/>
    <n v="56"/>
    <n v="2"/>
    <n v="2"/>
    <x v="3"/>
    <n v="4"/>
    <x v="1"/>
    <n v="6474"/>
    <n v="9961"/>
    <n v="1"/>
    <s v="Y"/>
    <s v="No"/>
    <n v="13"/>
    <n v="3"/>
    <n v="2"/>
    <n v="80"/>
    <n v="1"/>
    <n v="14"/>
    <n v="2"/>
    <n v="2"/>
    <n v="14"/>
    <n v="8"/>
    <n v="3"/>
    <n v="11"/>
  </r>
  <r>
    <n v="20"/>
    <x v="3"/>
    <x v="1"/>
    <s v="Travel_Rarely"/>
    <n v="805"/>
    <x v="1"/>
    <n v="3"/>
    <n v="3"/>
    <x v="0"/>
    <n v="1"/>
    <n v="1198"/>
    <n v="1"/>
    <x v="1"/>
    <n v="87"/>
    <n v="2"/>
    <n v="1"/>
    <x v="2"/>
    <n v="3"/>
    <x v="0"/>
    <n v="3033"/>
    <n v="12828"/>
    <n v="1"/>
    <s v="Y"/>
    <s v="No"/>
    <n v="12"/>
    <n v="3"/>
    <n v="1"/>
    <n v="80"/>
    <n v="0"/>
    <n v="2"/>
    <n v="2"/>
    <n v="2"/>
    <n v="2"/>
    <n v="2"/>
    <n v="1"/>
    <n v="2"/>
  </r>
  <r>
    <n v="44"/>
    <x v="0"/>
    <x v="0"/>
    <s v="Travel_Rarely"/>
    <n v="1097"/>
    <x v="1"/>
    <n v="10"/>
    <n v="4"/>
    <x v="0"/>
    <n v="1"/>
    <n v="1200"/>
    <n v="3"/>
    <x v="1"/>
    <n v="96"/>
    <n v="3"/>
    <n v="1"/>
    <x v="1"/>
    <n v="3"/>
    <x v="0"/>
    <n v="2936"/>
    <n v="10826"/>
    <n v="1"/>
    <s v="Y"/>
    <s v="Yes"/>
    <n v="11"/>
    <n v="3"/>
    <n v="3"/>
    <n v="80"/>
    <n v="0"/>
    <n v="6"/>
    <n v="4"/>
    <n v="3"/>
    <n v="6"/>
    <n v="4"/>
    <n v="0"/>
    <n v="2"/>
  </r>
  <r>
    <n v="53"/>
    <x v="1"/>
    <x v="1"/>
    <s v="Travel_Rarely"/>
    <n v="1223"/>
    <x v="1"/>
    <n v="7"/>
    <n v="2"/>
    <x v="2"/>
    <n v="1"/>
    <n v="1201"/>
    <n v="4"/>
    <x v="0"/>
    <n v="50"/>
    <n v="3"/>
    <n v="5"/>
    <x v="5"/>
    <n v="3"/>
    <x v="2"/>
    <n v="18606"/>
    <n v="18640"/>
    <n v="3"/>
    <s v="Y"/>
    <s v="No"/>
    <n v="18"/>
    <n v="3"/>
    <n v="2"/>
    <n v="80"/>
    <n v="1"/>
    <n v="26"/>
    <n v="6"/>
    <n v="3"/>
    <n v="7"/>
    <n v="7"/>
    <n v="4"/>
    <n v="7"/>
  </r>
  <r>
    <n v="29"/>
    <x v="2"/>
    <x v="1"/>
    <s v="Travel_Rarely"/>
    <n v="942"/>
    <x v="1"/>
    <n v="15"/>
    <n v="1"/>
    <x v="0"/>
    <n v="1"/>
    <n v="1202"/>
    <n v="2"/>
    <x v="0"/>
    <n v="69"/>
    <n v="1"/>
    <n v="1"/>
    <x v="1"/>
    <n v="4"/>
    <x v="1"/>
    <n v="2168"/>
    <n v="26933"/>
    <n v="0"/>
    <s v="Y"/>
    <s v="Yes"/>
    <n v="18"/>
    <n v="3"/>
    <n v="1"/>
    <n v="80"/>
    <n v="1"/>
    <n v="6"/>
    <n v="2"/>
    <n v="2"/>
    <n v="5"/>
    <n v="4"/>
    <n v="1"/>
    <n v="3"/>
  </r>
  <r>
    <n v="22"/>
    <x v="3"/>
    <x v="0"/>
    <s v="Travel_Frequently"/>
    <n v="1256"/>
    <x v="1"/>
    <n v="3"/>
    <n v="4"/>
    <x v="0"/>
    <n v="1"/>
    <n v="1203"/>
    <n v="3"/>
    <x v="1"/>
    <n v="48"/>
    <n v="2"/>
    <n v="1"/>
    <x v="1"/>
    <n v="4"/>
    <x v="1"/>
    <n v="2853"/>
    <n v="4223"/>
    <n v="0"/>
    <s v="Y"/>
    <s v="Yes"/>
    <n v="11"/>
    <n v="3"/>
    <n v="2"/>
    <n v="80"/>
    <n v="1"/>
    <n v="1"/>
    <n v="5"/>
    <n v="3"/>
    <n v="0"/>
    <n v="0"/>
    <n v="0"/>
    <n v="0"/>
  </r>
  <r>
    <n v="46"/>
    <x v="1"/>
    <x v="1"/>
    <s v="Travel_Rarely"/>
    <n v="1402"/>
    <x v="0"/>
    <n v="2"/>
    <n v="3"/>
    <x v="3"/>
    <n v="1"/>
    <n v="1204"/>
    <n v="3"/>
    <x v="0"/>
    <n v="69"/>
    <n v="3"/>
    <n v="4"/>
    <x v="5"/>
    <n v="1"/>
    <x v="1"/>
    <n v="17048"/>
    <n v="24097"/>
    <n v="8"/>
    <s v="Y"/>
    <s v="No"/>
    <n v="23"/>
    <n v="4"/>
    <n v="1"/>
    <n v="80"/>
    <n v="0"/>
    <n v="28"/>
    <n v="2"/>
    <n v="3"/>
    <n v="26"/>
    <n v="15"/>
    <n v="15"/>
    <n v="9"/>
  </r>
  <r>
    <n v="44"/>
    <x v="0"/>
    <x v="1"/>
    <s v="Non-Travel"/>
    <n v="111"/>
    <x v="1"/>
    <n v="17"/>
    <n v="3"/>
    <x v="0"/>
    <n v="1"/>
    <n v="1206"/>
    <n v="4"/>
    <x v="1"/>
    <n v="74"/>
    <n v="1"/>
    <n v="1"/>
    <x v="1"/>
    <n v="3"/>
    <x v="0"/>
    <n v="2290"/>
    <n v="4279"/>
    <n v="2"/>
    <s v="Y"/>
    <s v="No"/>
    <n v="13"/>
    <n v="3"/>
    <n v="4"/>
    <n v="80"/>
    <n v="0"/>
    <n v="6"/>
    <n v="3"/>
    <n v="3"/>
    <n v="0"/>
    <n v="0"/>
    <n v="0"/>
    <n v="0"/>
  </r>
  <r>
    <n v="33"/>
    <x v="2"/>
    <x v="1"/>
    <s v="Travel_Rarely"/>
    <n v="147"/>
    <x v="2"/>
    <n v="2"/>
    <n v="3"/>
    <x v="5"/>
    <n v="1"/>
    <n v="1207"/>
    <n v="2"/>
    <x v="1"/>
    <n v="99"/>
    <n v="3"/>
    <n v="1"/>
    <x v="8"/>
    <n v="3"/>
    <x v="1"/>
    <n v="3600"/>
    <n v="8429"/>
    <n v="1"/>
    <s v="Y"/>
    <s v="No"/>
    <n v="13"/>
    <n v="3"/>
    <n v="4"/>
    <n v="80"/>
    <n v="1"/>
    <n v="5"/>
    <n v="2"/>
    <n v="3"/>
    <n v="5"/>
    <n v="4"/>
    <n v="1"/>
    <n v="4"/>
  </r>
  <r>
    <n v="41"/>
    <x v="0"/>
    <x v="0"/>
    <s v="Non-Travel"/>
    <n v="906"/>
    <x v="1"/>
    <n v="5"/>
    <n v="2"/>
    <x v="0"/>
    <n v="1"/>
    <n v="1210"/>
    <n v="1"/>
    <x v="1"/>
    <n v="95"/>
    <n v="2"/>
    <n v="1"/>
    <x v="1"/>
    <n v="1"/>
    <x v="2"/>
    <n v="2107"/>
    <n v="20293"/>
    <n v="6"/>
    <s v="Y"/>
    <s v="No"/>
    <n v="17"/>
    <n v="3"/>
    <n v="1"/>
    <n v="80"/>
    <n v="1"/>
    <n v="5"/>
    <n v="2"/>
    <n v="1"/>
    <n v="1"/>
    <n v="0"/>
    <n v="0"/>
    <n v="0"/>
  </r>
  <r>
    <n v="30"/>
    <x v="2"/>
    <x v="1"/>
    <s v="Travel_Rarely"/>
    <n v="1329"/>
    <x v="0"/>
    <n v="29"/>
    <n v="4"/>
    <x v="0"/>
    <n v="1"/>
    <n v="1211"/>
    <n v="3"/>
    <x v="1"/>
    <n v="61"/>
    <n v="3"/>
    <n v="2"/>
    <x v="0"/>
    <n v="1"/>
    <x v="2"/>
    <n v="4115"/>
    <n v="13192"/>
    <n v="8"/>
    <s v="Y"/>
    <s v="No"/>
    <n v="19"/>
    <n v="3"/>
    <n v="3"/>
    <n v="80"/>
    <n v="3"/>
    <n v="8"/>
    <n v="3"/>
    <n v="3"/>
    <n v="4"/>
    <n v="3"/>
    <n v="0"/>
    <n v="3"/>
  </r>
  <r>
    <n v="40"/>
    <x v="0"/>
    <x v="1"/>
    <s v="Travel_Frequently"/>
    <n v="1184"/>
    <x v="0"/>
    <n v="2"/>
    <n v="4"/>
    <x v="2"/>
    <n v="1"/>
    <n v="1212"/>
    <n v="2"/>
    <x v="1"/>
    <n v="62"/>
    <n v="3"/>
    <n v="2"/>
    <x v="0"/>
    <n v="2"/>
    <x v="1"/>
    <n v="4327"/>
    <n v="25440"/>
    <n v="5"/>
    <s v="Y"/>
    <s v="No"/>
    <n v="12"/>
    <n v="3"/>
    <n v="4"/>
    <n v="80"/>
    <n v="3"/>
    <n v="5"/>
    <n v="2"/>
    <n v="3"/>
    <n v="0"/>
    <n v="0"/>
    <n v="0"/>
    <n v="0"/>
  </r>
  <r>
    <n v="50"/>
    <x v="1"/>
    <x v="1"/>
    <s v="Travel_Frequently"/>
    <n v="1421"/>
    <x v="1"/>
    <n v="2"/>
    <n v="3"/>
    <x v="2"/>
    <n v="1"/>
    <n v="1215"/>
    <n v="4"/>
    <x v="0"/>
    <n v="30"/>
    <n v="3"/>
    <n v="4"/>
    <x v="5"/>
    <n v="1"/>
    <x v="1"/>
    <n v="17856"/>
    <n v="9490"/>
    <n v="2"/>
    <s v="Y"/>
    <s v="No"/>
    <n v="22"/>
    <n v="4"/>
    <n v="3"/>
    <n v="80"/>
    <n v="1"/>
    <n v="32"/>
    <n v="3"/>
    <n v="3"/>
    <n v="2"/>
    <n v="2"/>
    <n v="2"/>
    <n v="2"/>
  </r>
  <r>
    <n v="28"/>
    <x v="2"/>
    <x v="1"/>
    <s v="Travel_Rarely"/>
    <n v="1179"/>
    <x v="1"/>
    <n v="19"/>
    <n v="4"/>
    <x v="2"/>
    <n v="1"/>
    <n v="1216"/>
    <n v="4"/>
    <x v="1"/>
    <n v="78"/>
    <n v="2"/>
    <n v="1"/>
    <x v="2"/>
    <n v="1"/>
    <x v="1"/>
    <n v="3196"/>
    <n v="12449"/>
    <n v="1"/>
    <s v="Y"/>
    <s v="No"/>
    <n v="12"/>
    <n v="3"/>
    <n v="3"/>
    <n v="80"/>
    <n v="3"/>
    <n v="6"/>
    <n v="2"/>
    <n v="3"/>
    <n v="6"/>
    <n v="5"/>
    <n v="3"/>
    <n v="3"/>
  </r>
  <r>
    <n v="46"/>
    <x v="1"/>
    <x v="1"/>
    <s v="Travel_Rarely"/>
    <n v="1450"/>
    <x v="1"/>
    <n v="15"/>
    <n v="2"/>
    <x v="0"/>
    <n v="1"/>
    <n v="1217"/>
    <n v="4"/>
    <x v="1"/>
    <n v="52"/>
    <n v="3"/>
    <n v="5"/>
    <x v="7"/>
    <n v="2"/>
    <x v="1"/>
    <n v="19081"/>
    <n v="10849"/>
    <n v="5"/>
    <s v="Y"/>
    <s v="No"/>
    <n v="11"/>
    <n v="3"/>
    <n v="1"/>
    <n v="80"/>
    <n v="1"/>
    <n v="25"/>
    <n v="2"/>
    <n v="3"/>
    <n v="4"/>
    <n v="2"/>
    <n v="0"/>
    <n v="3"/>
  </r>
  <r>
    <n v="35"/>
    <x v="2"/>
    <x v="1"/>
    <s v="Travel_Rarely"/>
    <n v="1361"/>
    <x v="0"/>
    <n v="17"/>
    <n v="4"/>
    <x v="0"/>
    <n v="1"/>
    <n v="1218"/>
    <n v="3"/>
    <x v="1"/>
    <n v="94"/>
    <n v="3"/>
    <n v="2"/>
    <x v="0"/>
    <n v="1"/>
    <x v="1"/>
    <n v="8966"/>
    <n v="21026"/>
    <n v="3"/>
    <s v="Y"/>
    <s v="Yes"/>
    <n v="15"/>
    <n v="3"/>
    <n v="4"/>
    <n v="80"/>
    <n v="3"/>
    <n v="15"/>
    <n v="2"/>
    <n v="3"/>
    <n v="7"/>
    <n v="7"/>
    <n v="1"/>
    <n v="7"/>
  </r>
  <r>
    <n v="24"/>
    <x v="3"/>
    <x v="0"/>
    <s v="Travel_Rarely"/>
    <n v="984"/>
    <x v="1"/>
    <n v="17"/>
    <n v="2"/>
    <x v="0"/>
    <n v="1"/>
    <n v="1219"/>
    <n v="4"/>
    <x v="0"/>
    <n v="97"/>
    <n v="3"/>
    <n v="1"/>
    <x v="2"/>
    <n v="2"/>
    <x v="1"/>
    <n v="2210"/>
    <n v="3372"/>
    <n v="1"/>
    <s v="Y"/>
    <s v="No"/>
    <n v="13"/>
    <n v="3"/>
    <n v="1"/>
    <n v="80"/>
    <n v="1"/>
    <n v="1"/>
    <n v="3"/>
    <n v="1"/>
    <n v="1"/>
    <n v="0"/>
    <n v="0"/>
    <n v="0"/>
  </r>
  <r>
    <n v="33"/>
    <x v="2"/>
    <x v="1"/>
    <s v="Travel_Frequently"/>
    <n v="1146"/>
    <x v="0"/>
    <n v="25"/>
    <n v="3"/>
    <x v="2"/>
    <n v="1"/>
    <n v="1220"/>
    <n v="2"/>
    <x v="0"/>
    <n v="82"/>
    <n v="3"/>
    <n v="2"/>
    <x v="0"/>
    <n v="3"/>
    <x v="1"/>
    <n v="4539"/>
    <n v="4905"/>
    <n v="1"/>
    <s v="Y"/>
    <s v="No"/>
    <n v="12"/>
    <n v="3"/>
    <n v="1"/>
    <n v="80"/>
    <n v="1"/>
    <n v="10"/>
    <n v="3"/>
    <n v="2"/>
    <n v="10"/>
    <n v="7"/>
    <n v="0"/>
    <n v="1"/>
  </r>
  <r>
    <n v="36"/>
    <x v="0"/>
    <x v="1"/>
    <s v="Travel_Rarely"/>
    <n v="917"/>
    <x v="1"/>
    <n v="6"/>
    <n v="4"/>
    <x v="0"/>
    <n v="1"/>
    <n v="1221"/>
    <n v="3"/>
    <x v="1"/>
    <n v="60"/>
    <n v="1"/>
    <n v="1"/>
    <x v="2"/>
    <n v="3"/>
    <x v="2"/>
    <n v="2741"/>
    <n v="6865"/>
    <n v="1"/>
    <s v="Y"/>
    <s v="No"/>
    <n v="14"/>
    <n v="3"/>
    <n v="3"/>
    <n v="80"/>
    <n v="1"/>
    <n v="7"/>
    <n v="4"/>
    <n v="3"/>
    <n v="7"/>
    <n v="7"/>
    <n v="1"/>
    <n v="7"/>
  </r>
  <r>
    <n v="30"/>
    <x v="2"/>
    <x v="1"/>
    <s v="Travel_Rarely"/>
    <n v="853"/>
    <x v="1"/>
    <n v="7"/>
    <n v="4"/>
    <x v="0"/>
    <n v="1"/>
    <n v="1224"/>
    <n v="3"/>
    <x v="1"/>
    <n v="49"/>
    <n v="3"/>
    <n v="2"/>
    <x v="2"/>
    <n v="3"/>
    <x v="2"/>
    <n v="3491"/>
    <n v="11309"/>
    <n v="1"/>
    <s v="Y"/>
    <s v="No"/>
    <n v="13"/>
    <n v="3"/>
    <n v="1"/>
    <n v="80"/>
    <n v="3"/>
    <n v="10"/>
    <n v="4"/>
    <n v="2"/>
    <n v="10"/>
    <n v="7"/>
    <n v="8"/>
    <n v="9"/>
  </r>
  <r>
    <n v="44"/>
    <x v="0"/>
    <x v="1"/>
    <s v="Travel_Rarely"/>
    <n v="200"/>
    <x v="1"/>
    <n v="29"/>
    <n v="4"/>
    <x v="1"/>
    <n v="1"/>
    <n v="1225"/>
    <n v="4"/>
    <x v="1"/>
    <n v="32"/>
    <n v="3"/>
    <n v="2"/>
    <x v="1"/>
    <n v="4"/>
    <x v="0"/>
    <n v="4541"/>
    <n v="7744"/>
    <n v="1"/>
    <s v="Y"/>
    <s v="No"/>
    <n v="25"/>
    <n v="4"/>
    <n v="2"/>
    <n v="80"/>
    <n v="0"/>
    <n v="20"/>
    <n v="3"/>
    <n v="3"/>
    <n v="20"/>
    <n v="11"/>
    <n v="13"/>
    <n v="17"/>
  </r>
  <r>
    <n v="20"/>
    <x v="3"/>
    <x v="1"/>
    <s v="Travel_Rarely"/>
    <n v="654"/>
    <x v="0"/>
    <n v="21"/>
    <n v="3"/>
    <x v="3"/>
    <n v="1"/>
    <n v="1226"/>
    <n v="3"/>
    <x v="1"/>
    <n v="43"/>
    <n v="4"/>
    <n v="1"/>
    <x v="6"/>
    <n v="4"/>
    <x v="0"/>
    <n v="2678"/>
    <n v="5050"/>
    <n v="1"/>
    <s v="Y"/>
    <s v="No"/>
    <n v="17"/>
    <n v="3"/>
    <n v="4"/>
    <n v="80"/>
    <n v="0"/>
    <n v="2"/>
    <n v="2"/>
    <n v="3"/>
    <n v="2"/>
    <n v="1"/>
    <n v="2"/>
    <n v="2"/>
  </r>
  <r>
    <n v="46"/>
    <x v="1"/>
    <x v="1"/>
    <s v="Travel_Rarely"/>
    <n v="150"/>
    <x v="1"/>
    <n v="2"/>
    <n v="4"/>
    <x v="4"/>
    <n v="1"/>
    <n v="1228"/>
    <n v="4"/>
    <x v="1"/>
    <n v="60"/>
    <n v="3"/>
    <n v="2"/>
    <x v="3"/>
    <n v="4"/>
    <x v="2"/>
    <n v="7379"/>
    <n v="17433"/>
    <n v="2"/>
    <s v="Y"/>
    <s v="No"/>
    <n v="11"/>
    <n v="3"/>
    <n v="3"/>
    <n v="80"/>
    <n v="1"/>
    <n v="12"/>
    <n v="3"/>
    <n v="2"/>
    <n v="6"/>
    <n v="3"/>
    <n v="1"/>
    <n v="4"/>
  </r>
  <r>
    <n v="42"/>
    <x v="0"/>
    <x v="1"/>
    <s v="Non-Travel"/>
    <n v="179"/>
    <x v="2"/>
    <n v="2"/>
    <n v="5"/>
    <x v="2"/>
    <n v="1"/>
    <n v="1231"/>
    <n v="4"/>
    <x v="1"/>
    <n v="79"/>
    <n v="4"/>
    <n v="2"/>
    <x v="8"/>
    <n v="1"/>
    <x v="1"/>
    <n v="6272"/>
    <n v="12858"/>
    <n v="7"/>
    <s v="Y"/>
    <s v="No"/>
    <n v="16"/>
    <n v="3"/>
    <n v="1"/>
    <n v="80"/>
    <n v="1"/>
    <n v="10"/>
    <n v="3"/>
    <n v="4"/>
    <n v="4"/>
    <n v="3"/>
    <n v="0"/>
    <n v="3"/>
  </r>
  <r>
    <n v="60"/>
    <x v="1"/>
    <x v="1"/>
    <s v="Travel_Rarely"/>
    <n v="696"/>
    <x v="0"/>
    <n v="7"/>
    <n v="4"/>
    <x v="3"/>
    <n v="1"/>
    <n v="1233"/>
    <n v="2"/>
    <x v="1"/>
    <n v="52"/>
    <n v="4"/>
    <n v="2"/>
    <x v="0"/>
    <n v="4"/>
    <x v="2"/>
    <n v="5220"/>
    <n v="10893"/>
    <n v="0"/>
    <s v="Y"/>
    <s v="Yes"/>
    <n v="18"/>
    <n v="3"/>
    <n v="2"/>
    <n v="80"/>
    <n v="1"/>
    <n v="12"/>
    <n v="3"/>
    <n v="3"/>
    <n v="11"/>
    <n v="7"/>
    <n v="1"/>
    <n v="9"/>
  </r>
  <r>
    <n v="32"/>
    <x v="2"/>
    <x v="1"/>
    <s v="Travel_Frequently"/>
    <n v="116"/>
    <x v="1"/>
    <n v="13"/>
    <n v="3"/>
    <x v="1"/>
    <n v="1"/>
    <n v="1234"/>
    <n v="3"/>
    <x v="0"/>
    <n v="77"/>
    <n v="2"/>
    <n v="1"/>
    <x v="2"/>
    <n v="2"/>
    <x v="1"/>
    <n v="2743"/>
    <n v="7331"/>
    <n v="1"/>
    <s v="Y"/>
    <s v="No"/>
    <n v="20"/>
    <n v="4"/>
    <n v="3"/>
    <n v="80"/>
    <n v="1"/>
    <n v="2"/>
    <n v="2"/>
    <n v="3"/>
    <n v="2"/>
    <n v="2"/>
    <n v="2"/>
    <n v="2"/>
  </r>
  <r>
    <n v="32"/>
    <x v="2"/>
    <x v="1"/>
    <s v="Travel_Frequently"/>
    <n v="1316"/>
    <x v="1"/>
    <n v="2"/>
    <n v="2"/>
    <x v="0"/>
    <n v="1"/>
    <n v="1235"/>
    <n v="4"/>
    <x v="0"/>
    <n v="38"/>
    <n v="3"/>
    <n v="2"/>
    <x v="1"/>
    <n v="3"/>
    <x v="0"/>
    <n v="4998"/>
    <n v="2338"/>
    <n v="4"/>
    <s v="Y"/>
    <s v="Yes"/>
    <n v="14"/>
    <n v="3"/>
    <n v="4"/>
    <n v="80"/>
    <n v="0"/>
    <n v="10"/>
    <n v="2"/>
    <n v="3"/>
    <n v="8"/>
    <n v="7"/>
    <n v="0"/>
    <n v="7"/>
  </r>
  <r>
    <n v="36"/>
    <x v="0"/>
    <x v="1"/>
    <s v="Travel_Rarely"/>
    <n v="363"/>
    <x v="1"/>
    <n v="1"/>
    <n v="3"/>
    <x v="4"/>
    <n v="1"/>
    <n v="1237"/>
    <n v="3"/>
    <x v="0"/>
    <n v="77"/>
    <n v="1"/>
    <n v="3"/>
    <x v="3"/>
    <n v="1"/>
    <x v="2"/>
    <n v="10252"/>
    <n v="4235"/>
    <n v="2"/>
    <s v="Y"/>
    <s v="Yes"/>
    <n v="21"/>
    <n v="4"/>
    <n v="3"/>
    <n v="80"/>
    <n v="1"/>
    <n v="17"/>
    <n v="2"/>
    <n v="3"/>
    <n v="7"/>
    <n v="7"/>
    <n v="7"/>
    <n v="7"/>
  </r>
  <r>
    <n v="33"/>
    <x v="2"/>
    <x v="1"/>
    <s v="Travel_Rarely"/>
    <n v="117"/>
    <x v="1"/>
    <n v="9"/>
    <n v="3"/>
    <x v="2"/>
    <n v="1"/>
    <n v="1238"/>
    <n v="1"/>
    <x v="1"/>
    <n v="60"/>
    <n v="3"/>
    <n v="1"/>
    <x v="1"/>
    <n v="4"/>
    <x v="1"/>
    <n v="2781"/>
    <n v="6311"/>
    <n v="0"/>
    <s v="Y"/>
    <s v="No"/>
    <n v="13"/>
    <n v="3"/>
    <n v="2"/>
    <n v="80"/>
    <n v="1"/>
    <n v="15"/>
    <n v="5"/>
    <n v="3"/>
    <n v="14"/>
    <n v="10"/>
    <n v="4"/>
    <n v="10"/>
  </r>
  <r>
    <n v="40"/>
    <x v="0"/>
    <x v="1"/>
    <s v="Travel_Rarely"/>
    <n v="107"/>
    <x v="0"/>
    <n v="10"/>
    <n v="3"/>
    <x v="4"/>
    <n v="1"/>
    <n v="1239"/>
    <n v="2"/>
    <x v="0"/>
    <n v="84"/>
    <n v="2"/>
    <n v="2"/>
    <x v="0"/>
    <n v="2"/>
    <x v="2"/>
    <n v="6852"/>
    <n v="11591"/>
    <n v="7"/>
    <s v="Y"/>
    <s v="No"/>
    <n v="12"/>
    <n v="3"/>
    <n v="2"/>
    <n v="80"/>
    <n v="1"/>
    <n v="7"/>
    <n v="2"/>
    <n v="4"/>
    <n v="5"/>
    <n v="1"/>
    <n v="1"/>
    <n v="3"/>
  </r>
  <r>
    <n v="25"/>
    <x v="3"/>
    <x v="1"/>
    <s v="Travel_Rarely"/>
    <n v="1356"/>
    <x v="0"/>
    <n v="10"/>
    <n v="4"/>
    <x v="0"/>
    <n v="1"/>
    <n v="1240"/>
    <n v="3"/>
    <x v="1"/>
    <n v="57"/>
    <n v="3"/>
    <n v="2"/>
    <x v="0"/>
    <n v="4"/>
    <x v="0"/>
    <n v="4950"/>
    <n v="20623"/>
    <n v="0"/>
    <s v="Y"/>
    <s v="No"/>
    <n v="14"/>
    <n v="3"/>
    <n v="2"/>
    <n v="80"/>
    <n v="0"/>
    <n v="5"/>
    <n v="4"/>
    <n v="3"/>
    <n v="4"/>
    <n v="3"/>
    <n v="1"/>
    <n v="1"/>
  </r>
  <r>
    <n v="30"/>
    <x v="2"/>
    <x v="1"/>
    <s v="Travel_Rarely"/>
    <n v="1465"/>
    <x v="1"/>
    <n v="1"/>
    <n v="3"/>
    <x v="2"/>
    <n v="1"/>
    <n v="1241"/>
    <n v="4"/>
    <x v="1"/>
    <n v="63"/>
    <n v="3"/>
    <n v="1"/>
    <x v="1"/>
    <n v="2"/>
    <x v="1"/>
    <n v="3579"/>
    <n v="9369"/>
    <n v="0"/>
    <s v="Y"/>
    <s v="Yes"/>
    <n v="21"/>
    <n v="4"/>
    <n v="1"/>
    <n v="80"/>
    <n v="1"/>
    <n v="12"/>
    <n v="2"/>
    <n v="3"/>
    <n v="11"/>
    <n v="9"/>
    <n v="5"/>
    <n v="7"/>
  </r>
  <r>
    <n v="42"/>
    <x v="0"/>
    <x v="1"/>
    <s v="Travel_Frequently"/>
    <n v="458"/>
    <x v="1"/>
    <n v="26"/>
    <n v="5"/>
    <x v="2"/>
    <n v="1"/>
    <n v="1242"/>
    <n v="1"/>
    <x v="0"/>
    <n v="60"/>
    <n v="3"/>
    <n v="3"/>
    <x v="7"/>
    <n v="1"/>
    <x v="1"/>
    <n v="13191"/>
    <n v="23281"/>
    <n v="3"/>
    <s v="Y"/>
    <s v="Yes"/>
    <n v="17"/>
    <n v="3"/>
    <n v="3"/>
    <n v="80"/>
    <n v="0"/>
    <n v="20"/>
    <n v="6"/>
    <n v="3"/>
    <n v="1"/>
    <n v="0"/>
    <n v="0"/>
    <n v="0"/>
  </r>
  <r>
    <n v="35"/>
    <x v="2"/>
    <x v="1"/>
    <s v="Non-Travel"/>
    <n v="1212"/>
    <x v="0"/>
    <n v="8"/>
    <n v="2"/>
    <x v="3"/>
    <n v="1"/>
    <n v="1243"/>
    <n v="3"/>
    <x v="0"/>
    <n v="78"/>
    <n v="2"/>
    <n v="3"/>
    <x v="0"/>
    <n v="4"/>
    <x v="1"/>
    <n v="10377"/>
    <n v="13755"/>
    <n v="4"/>
    <s v="Y"/>
    <s v="Yes"/>
    <n v="11"/>
    <n v="3"/>
    <n v="2"/>
    <n v="80"/>
    <n v="1"/>
    <n v="16"/>
    <n v="6"/>
    <n v="2"/>
    <n v="13"/>
    <n v="2"/>
    <n v="4"/>
    <n v="12"/>
  </r>
  <r>
    <n v="27"/>
    <x v="2"/>
    <x v="1"/>
    <s v="Travel_Rarely"/>
    <n v="1103"/>
    <x v="1"/>
    <n v="14"/>
    <n v="3"/>
    <x v="0"/>
    <n v="1"/>
    <n v="1244"/>
    <n v="1"/>
    <x v="1"/>
    <n v="42"/>
    <n v="3"/>
    <n v="1"/>
    <x v="1"/>
    <n v="1"/>
    <x v="1"/>
    <n v="2235"/>
    <n v="14377"/>
    <n v="1"/>
    <s v="Y"/>
    <s v="Yes"/>
    <n v="14"/>
    <n v="3"/>
    <n v="4"/>
    <n v="80"/>
    <n v="2"/>
    <n v="9"/>
    <n v="3"/>
    <n v="2"/>
    <n v="9"/>
    <n v="7"/>
    <n v="6"/>
    <n v="8"/>
  </r>
  <r>
    <n v="54"/>
    <x v="1"/>
    <x v="1"/>
    <s v="Travel_Frequently"/>
    <n v="966"/>
    <x v="1"/>
    <n v="1"/>
    <n v="4"/>
    <x v="0"/>
    <n v="1"/>
    <n v="1245"/>
    <n v="4"/>
    <x v="0"/>
    <n v="53"/>
    <n v="3"/>
    <n v="3"/>
    <x v="3"/>
    <n v="3"/>
    <x v="2"/>
    <n v="10502"/>
    <n v="9659"/>
    <n v="7"/>
    <s v="Y"/>
    <s v="No"/>
    <n v="17"/>
    <n v="3"/>
    <n v="1"/>
    <n v="80"/>
    <n v="1"/>
    <n v="33"/>
    <n v="2"/>
    <n v="1"/>
    <n v="5"/>
    <n v="4"/>
    <n v="1"/>
    <n v="4"/>
  </r>
  <r>
    <n v="44"/>
    <x v="0"/>
    <x v="1"/>
    <s v="Travel_Rarely"/>
    <n v="1117"/>
    <x v="1"/>
    <n v="2"/>
    <n v="1"/>
    <x v="0"/>
    <n v="1"/>
    <n v="1246"/>
    <n v="1"/>
    <x v="0"/>
    <n v="72"/>
    <n v="4"/>
    <n v="1"/>
    <x v="1"/>
    <n v="4"/>
    <x v="1"/>
    <n v="2011"/>
    <n v="19982"/>
    <n v="1"/>
    <s v="Y"/>
    <s v="No"/>
    <n v="13"/>
    <n v="3"/>
    <n v="4"/>
    <n v="80"/>
    <n v="1"/>
    <n v="10"/>
    <n v="5"/>
    <n v="3"/>
    <n v="10"/>
    <n v="5"/>
    <n v="7"/>
    <n v="7"/>
  </r>
  <r>
    <n v="19"/>
    <x v="3"/>
    <x v="0"/>
    <s v="Non-Travel"/>
    <n v="504"/>
    <x v="1"/>
    <n v="10"/>
    <n v="3"/>
    <x v="2"/>
    <n v="1"/>
    <n v="1248"/>
    <n v="1"/>
    <x v="0"/>
    <n v="96"/>
    <n v="2"/>
    <n v="1"/>
    <x v="1"/>
    <n v="2"/>
    <x v="0"/>
    <n v="1859"/>
    <n v="6148"/>
    <n v="1"/>
    <s v="Y"/>
    <s v="Yes"/>
    <n v="25"/>
    <n v="4"/>
    <n v="2"/>
    <n v="80"/>
    <n v="0"/>
    <n v="1"/>
    <n v="2"/>
    <n v="4"/>
    <n v="1"/>
    <n v="1"/>
    <n v="0"/>
    <n v="0"/>
  </r>
  <r>
    <n v="29"/>
    <x v="2"/>
    <x v="1"/>
    <s v="Travel_Rarely"/>
    <n v="1010"/>
    <x v="1"/>
    <n v="1"/>
    <n v="3"/>
    <x v="0"/>
    <n v="1"/>
    <n v="1249"/>
    <n v="1"/>
    <x v="0"/>
    <n v="97"/>
    <n v="3"/>
    <n v="1"/>
    <x v="1"/>
    <n v="4"/>
    <x v="2"/>
    <n v="3760"/>
    <n v="5598"/>
    <n v="1"/>
    <s v="Y"/>
    <s v="No"/>
    <n v="15"/>
    <n v="3"/>
    <n v="1"/>
    <n v="80"/>
    <n v="3"/>
    <n v="3"/>
    <n v="5"/>
    <n v="3"/>
    <n v="3"/>
    <n v="2"/>
    <n v="1"/>
    <n v="2"/>
  </r>
  <r>
    <n v="54"/>
    <x v="1"/>
    <x v="1"/>
    <s v="Travel_Rarely"/>
    <n v="685"/>
    <x v="1"/>
    <n v="3"/>
    <n v="3"/>
    <x v="0"/>
    <n v="1"/>
    <n v="1250"/>
    <n v="4"/>
    <x v="1"/>
    <n v="85"/>
    <n v="3"/>
    <n v="4"/>
    <x v="7"/>
    <n v="4"/>
    <x v="1"/>
    <n v="17779"/>
    <n v="23474"/>
    <n v="3"/>
    <s v="Y"/>
    <s v="No"/>
    <n v="14"/>
    <n v="3"/>
    <n v="1"/>
    <n v="80"/>
    <n v="0"/>
    <n v="36"/>
    <n v="2"/>
    <n v="3"/>
    <n v="10"/>
    <n v="9"/>
    <n v="0"/>
    <n v="9"/>
  </r>
  <r>
    <n v="31"/>
    <x v="2"/>
    <x v="1"/>
    <s v="Travel_Rarely"/>
    <n v="1332"/>
    <x v="1"/>
    <n v="11"/>
    <n v="2"/>
    <x v="2"/>
    <n v="1"/>
    <n v="1251"/>
    <n v="3"/>
    <x v="1"/>
    <n v="80"/>
    <n v="3"/>
    <n v="2"/>
    <x v="4"/>
    <n v="1"/>
    <x v="1"/>
    <n v="6833"/>
    <n v="17089"/>
    <n v="1"/>
    <s v="Y"/>
    <s v="Yes"/>
    <n v="12"/>
    <n v="3"/>
    <n v="4"/>
    <n v="80"/>
    <n v="0"/>
    <n v="6"/>
    <n v="2"/>
    <n v="2"/>
    <n v="6"/>
    <n v="5"/>
    <n v="0"/>
    <n v="1"/>
  </r>
  <r>
    <n v="31"/>
    <x v="2"/>
    <x v="1"/>
    <s v="Travel_Rarely"/>
    <n v="1062"/>
    <x v="1"/>
    <n v="24"/>
    <n v="3"/>
    <x v="2"/>
    <n v="1"/>
    <n v="1252"/>
    <n v="3"/>
    <x v="0"/>
    <n v="96"/>
    <n v="2"/>
    <n v="2"/>
    <x v="4"/>
    <n v="1"/>
    <x v="0"/>
    <n v="6812"/>
    <n v="17198"/>
    <n v="1"/>
    <s v="Y"/>
    <s v="No"/>
    <n v="19"/>
    <n v="3"/>
    <n v="2"/>
    <n v="80"/>
    <n v="0"/>
    <n v="10"/>
    <n v="2"/>
    <n v="3"/>
    <n v="10"/>
    <n v="9"/>
    <n v="1"/>
    <n v="8"/>
  </r>
  <r>
    <n v="59"/>
    <x v="1"/>
    <x v="1"/>
    <s v="Travel_Rarely"/>
    <n v="326"/>
    <x v="0"/>
    <n v="3"/>
    <n v="3"/>
    <x v="0"/>
    <n v="1"/>
    <n v="1254"/>
    <n v="3"/>
    <x v="0"/>
    <n v="48"/>
    <n v="2"/>
    <n v="2"/>
    <x v="0"/>
    <n v="4"/>
    <x v="0"/>
    <n v="5171"/>
    <n v="16490"/>
    <n v="5"/>
    <s v="Y"/>
    <s v="No"/>
    <n v="17"/>
    <n v="3"/>
    <n v="4"/>
    <n v="80"/>
    <n v="0"/>
    <n v="13"/>
    <n v="2"/>
    <n v="3"/>
    <n v="6"/>
    <n v="1"/>
    <n v="0"/>
    <n v="5"/>
  </r>
  <r>
    <n v="43"/>
    <x v="0"/>
    <x v="1"/>
    <s v="Travel_Rarely"/>
    <n v="920"/>
    <x v="1"/>
    <n v="3"/>
    <n v="3"/>
    <x v="0"/>
    <n v="1"/>
    <n v="1255"/>
    <n v="3"/>
    <x v="1"/>
    <n v="96"/>
    <n v="1"/>
    <n v="5"/>
    <x v="7"/>
    <n v="4"/>
    <x v="1"/>
    <n v="19740"/>
    <n v="18625"/>
    <n v="3"/>
    <s v="Y"/>
    <s v="No"/>
    <n v="14"/>
    <n v="3"/>
    <n v="2"/>
    <n v="80"/>
    <n v="1"/>
    <n v="25"/>
    <n v="2"/>
    <n v="3"/>
    <n v="8"/>
    <n v="7"/>
    <n v="0"/>
    <n v="7"/>
  </r>
  <r>
    <n v="49"/>
    <x v="1"/>
    <x v="1"/>
    <s v="Travel_Rarely"/>
    <n v="1098"/>
    <x v="1"/>
    <n v="4"/>
    <n v="2"/>
    <x v="2"/>
    <n v="1"/>
    <n v="1256"/>
    <n v="1"/>
    <x v="1"/>
    <n v="85"/>
    <n v="2"/>
    <n v="5"/>
    <x v="5"/>
    <n v="3"/>
    <x v="1"/>
    <n v="18711"/>
    <n v="12124"/>
    <n v="2"/>
    <s v="Y"/>
    <s v="No"/>
    <n v="13"/>
    <n v="3"/>
    <n v="3"/>
    <n v="80"/>
    <n v="1"/>
    <n v="23"/>
    <n v="2"/>
    <n v="4"/>
    <n v="1"/>
    <n v="0"/>
    <n v="0"/>
    <n v="0"/>
  </r>
  <r>
    <n v="36"/>
    <x v="0"/>
    <x v="1"/>
    <s v="Travel_Frequently"/>
    <n v="469"/>
    <x v="1"/>
    <n v="3"/>
    <n v="3"/>
    <x v="4"/>
    <n v="1"/>
    <n v="1257"/>
    <n v="3"/>
    <x v="1"/>
    <n v="46"/>
    <n v="3"/>
    <n v="1"/>
    <x v="1"/>
    <n v="2"/>
    <x v="1"/>
    <n v="3692"/>
    <n v="9256"/>
    <n v="1"/>
    <s v="Y"/>
    <s v="No"/>
    <n v="12"/>
    <n v="3"/>
    <n v="3"/>
    <n v="80"/>
    <n v="0"/>
    <n v="12"/>
    <n v="2"/>
    <n v="2"/>
    <n v="11"/>
    <n v="10"/>
    <n v="0"/>
    <n v="7"/>
  </r>
  <r>
    <n v="48"/>
    <x v="1"/>
    <x v="1"/>
    <s v="Travel_Rarely"/>
    <n v="969"/>
    <x v="1"/>
    <n v="2"/>
    <n v="2"/>
    <x v="4"/>
    <n v="1"/>
    <n v="1258"/>
    <n v="4"/>
    <x v="1"/>
    <n v="76"/>
    <n v="4"/>
    <n v="1"/>
    <x v="2"/>
    <n v="2"/>
    <x v="0"/>
    <n v="2559"/>
    <n v="16620"/>
    <n v="5"/>
    <s v="Y"/>
    <s v="No"/>
    <n v="11"/>
    <n v="3"/>
    <n v="3"/>
    <n v="80"/>
    <n v="0"/>
    <n v="7"/>
    <n v="4"/>
    <n v="2"/>
    <n v="1"/>
    <n v="0"/>
    <n v="0"/>
    <n v="0"/>
  </r>
  <r>
    <n v="27"/>
    <x v="2"/>
    <x v="1"/>
    <s v="Travel_Rarely"/>
    <n v="1167"/>
    <x v="1"/>
    <n v="4"/>
    <n v="2"/>
    <x v="0"/>
    <n v="1"/>
    <n v="1259"/>
    <n v="1"/>
    <x v="1"/>
    <n v="76"/>
    <n v="3"/>
    <n v="1"/>
    <x v="1"/>
    <n v="3"/>
    <x v="2"/>
    <n v="2517"/>
    <n v="3208"/>
    <n v="1"/>
    <s v="Y"/>
    <s v="No"/>
    <n v="11"/>
    <n v="3"/>
    <n v="2"/>
    <n v="80"/>
    <n v="3"/>
    <n v="5"/>
    <n v="2"/>
    <n v="3"/>
    <n v="5"/>
    <n v="3"/>
    <n v="0"/>
    <n v="3"/>
  </r>
  <r>
    <n v="29"/>
    <x v="2"/>
    <x v="1"/>
    <s v="Travel_Rarely"/>
    <n v="1329"/>
    <x v="1"/>
    <n v="7"/>
    <n v="3"/>
    <x v="0"/>
    <n v="1"/>
    <n v="1260"/>
    <n v="3"/>
    <x v="1"/>
    <n v="82"/>
    <n v="3"/>
    <n v="2"/>
    <x v="4"/>
    <n v="4"/>
    <x v="2"/>
    <n v="6623"/>
    <n v="4204"/>
    <n v="1"/>
    <s v="Y"/>
    <s v="Yes"/>
    <n v="11"/>
    <n v="3"/>
    <n v="2"/>
    <n v="80"/>
    <n v="2"/>
    <n v="6"/>
    <n v="2"/>
    <n v="3"/>
    <n v="6"/>
    <n v="0"/>
    <n v="1"/>
    <n v="0"/>
  </r>
  <r>
    <n v="48"/>
    <x v="1"/>
    <x v="1"/>
    <s v="Travel_Rarely"/>
    <n v="715"/>
    <x v="1"/>
    <n v="1"/>
    <n v="3"/>
    <x v="0"/>
    <n v="1"/>
    <n v="1263"/>
    <n v="4"/>
    <x v="1"/>
    <n v="76"/>
    <n v="2"/>
    <n v="5"/>
    <x v="7"/>
    <n v="4"/>
    <x v="0"/>
    <n v="18265"/>
    <n v="8733"/>
    <n v="6"/>
    <s v="Y"/>
    <s v="No"/>
    <n v="12"/>
    <n v="3"/>
    <n v="3"/>
    <n v="80"/>
    <n v="0"/>
    <n v="25"/>
    <n v="3"/>
    <n v="4"/>
    <n v="1"/>
    <n v="0"/>
    <n v="0"/>
    <n v="0"/>
  </r>
  <r>
    <n v="29"/>
    <x v="2"/>
    <x v="1"/>
    <s v="Travel_Rarely"/>
    <n v="694"/>
    <x v="1"/>
    <n v="1"/>
    <n v="3"/>
    <x v="0"/>
    <n v="1"/>
    <n v="1264"/>
    <n v="4"/>
    <x v="0"/>
    <n v="87"/>
    <n v="2"/>
    <n v="4"/>
    <x v="7"/>
    <n v="4"/>
    <x v="2"/>
    <n v="16124"/>
    <n v="3423"/>
    <n v="3"/>
    <s v="Y"/>
    <s v="No"/>
    <n v="14"/>
    <n v="3"/>
    <n v="2"/>
    <n v="80"/>
    <n v="2"/>
    <n v="9"/>
    <n v="2"/>
    <n v="2"/>
    <n v="7"/>
    <n v="7"/>
    <n v="1"/>
    <n v="7"/>
  </r>
  <r>
    <n v="34"/>
    <x v="2"/>
    <x v="1"/>
    <s v="Travel_Rarely"/>
    <n v="1320"/>
    <x v="1"/>
    <n v="20"/>
    <n v="3"/>
    <x v="4"/>
    <n v="1"/>
    <n v="1265"/>
    <n v="3"/>
    <x v="0"/>
    <n v="89"/>
    <n v="4"/>
    <n v="1"/>
    <x v="1"/>
    <n v="3"/>
    <x v="1"/>
    <n v="2585"/>
    <n v="21643"/>
    <n v="0"/>
    <s v="Y"/>
    <s v="No"/>
    <n v="17"/>
    <n v="3"/>
    <n v="4"/>
    <n v="80"/>
    <n v="0"/>
    <n v="2"/>
    <n v="5"/>
    <n v="2"/>
    <n v="1"/>
    <n v="0"/>
    <n v="0"/>
    <n v="0"/>
  </r>
  <r>
    <n v="44"/>
    <x v="0"/>
    <x v="1"/>
    <s v="Travel_Rarely"/>
    <n v="1099"/>
    <x v="0"/>
    <n v="5"/>
    <n v="3"/>
    <x v="3"/>
    <n v="1"/>
    <n v="1267"/>
    <n v="2"/>
    <x v="1"/>
    <n v="88"/>
    <n v="3"/>
    <n v="5"/>
    <x v="5"/>
    <n v="2"/>
    <x v="1"/>
    <n v="18213"/>
    <n v="8751"/>
    <n v="7"/>
    <s v="Y"/>
    <s v="No"/>
    <n v="11"/>
    <n v="3"/>
    <n v="3"/>
    <n v="80"/>
    <n v="1"/>
    <n v="26"/>
    <n v="5"/>
    <n v="3"/>
    <n v="22"/>
    <n v="9"/>
    <n v="3"/>
    <n v="10"/>
  </r>
  <r>
    <n v="33"/>
    <x v="2"/>
    <x v="1"/>
    <s v="Travel_Rarely"/>
    <n v="536"/>
    <x v="0"/>
    <n v="10"/>
    <n v="5"/>
    <x v="3"/>
    <n v="1"/>
    <n v="1268"/>
    <n v="4"/>
    <x v="1"/>
    <n v="82"/>
    <n v="4"/>
    <n v="3"/>
    <x v="0"/>
    <n v="3"/>
    <x v="2"/>
    <n v="8380"/>
    <n v="21708"/>
    <n v="0"/>
    <s v="Y"/>
    <s v="Yes"/>
    <n v="14"/>
    <n v="3"/>
    <n v="4"/>
    <n v="80"/>
    <n v="2"/>
    <n v="10"/>
    <n v="3"/>
    <n v="3"/>
    <n v="9"/>
    <n v="8"/>
    <n v="0"/>
    <n v="8"/>
  </r>
  <r>
    <n v="19"/>
    <x v="3"/>
    <x v="1"/>
    <s v="Travel_Rarely"/>
    <n v="265"/>
    <x v="1"/>
    <n v="25"/>
    <n v="3"/>
    <x v="0"/>
    <n v="1"/>
    <n v="1269"/>
    <n v="2"/>
    <x v="0"/>
    <n v="57"/>
    <n v="4"/>
    <n v="1"/>
    <x v="1"/>
    <n v="4"/>
    <x v="0"/>
    <n v="2994"/>
    <n v="21221"/>
    <n v="1"/>
    <s v="Y"/>
    <s v="Yes"/>
    <n v="12"/>
    <n v="3"/>
    <n v="4"/>
    <n v="80"/>
    <n v="0"/>
    <n v="1"/>
    <n v="2"/>
    <n v="3"/>
    <n v="1"/>
    <n v="0"/>
    <n v="0"/>
    <n v="1"/>
  </r>
  <r>
    <n v="23"/>
    <x v="3"/>
    <x v="1"/>
    <s v="Travel_Rarely"/>
    <n v="373"/>
    <x v="1"/>
    <n v="1"/>
    <n v="2"/>
    <x v="0"/>
    <n v="1"/>
    <n v="1270"/>
    <n v="4"/>
    <x v="1"/>
    <n v="47"/>
    <n v="3"/>
    <n v="1"/>
    <x v="1"/>
    <n v="3"/>
    <x v="1"/>
    <n v="1223"/>
    <n v="16901"/>
    <n v="1"/>
    <s v="Y"/>
    <s v="No"/>
    <n v="22"/>
    <n v="4"/>
    <n v="4"/>
    <n v="80"/>
    <n v="1"/>
    <n v="1"/>
    <n v="2"/>
    <n v="3"/>
    <n v="1"/>
    <n v="0"/>
    <n v="0"/>
    <n v="1"/>
  </r>
  <r>
    <n v="25"/>
    <x v="3"/>
    <x v="0"/>
    <s v="Travel_Frequently"/>
    <n v="599"/>
    <x v="0"/>
    <n v="24"/>
    <n v="1"/>
    <x v="0"/>
    <n v="1"/>
    <n v="1273"/>
    <n v="3"/>
    <x v="1"/>
    <n v="73"/>
    <n v="1"/>
    <n v="1"/>
    <x v="6"/>
    <n v="4"/>
    <x v="0"/>
    <n v="1118"/>
    <n v="8040"/>
    <n v="1"/>
    <s v="Y"/>
    <s v="Yes"/>
    <n v="14"/>
    <n v="3"/>
    <n v="4"/>
    <n v="80"/>
    <n v="0"/>
    <n v="1"/>
    <n v="4"/>
    <n v="3"/>
    <n v="1"/>
    <n v="0"/>
    <n v="1"/>
    <n v="0"/>
  </r>
  <r>
    <n v="26"/>
    <x v="2"/>
    <x v="1"/>
    <s v="Travel_Rarely"/>
    <n v="583"/>
    <x v="1"/>
    <n v="4"/>
    <n v="2"/>
    <x v="0"/>
    <n v="1"/>
    <n v="1275"/>
    <n v="3"/>
    <x v="1"/>
    <n v="53"/>
    <n v="3"/>
    <n v="1"/>
    <x v="1"/>
    <n v="4"/>
    <x v="0"/>
    <n v="2875"/>
    <n v="9973"/>
    <n v="1"/>
    <s v="Y"/>
    <s v="Yes"/>
    <n v="20"/>
    <n v="4"/>
    <n v="2"/>
    <n v="80"/>
    <n v="0"/>
    <n v="8"/>
    <n v="2"/>
    <n v="2"/>
    <n v="8"/>
    <n v="5"/>
    <n v="2"/>
    <n v="2"/>
  </r>
  <r>
    <n v="45"/>
    <x v="0"/>
    <x v="0"/>
    <s v="Travel_Rarely"/>
    <n v="1449"/>
    <x v="0"/>
    <n v="2"/>
    <n v="3"/>
    <x v="3"/>
    <n v="1"/>
    <n v="1277"/>
    <n v="1"/>
    <x v="0"/>
    <n v="94"/>
    <n v="1"/>
    <n v="5"/>
    <x v="5"/>
    <n v="2"/>
    <x v="0"/>
    <n v="18824"/>
    <n v="2493"/>
    <n v="2"/>
    <s v="Y"/>
    <s v="Yes"/>
    <n v="16"/>
    <n v="3"/>
    <n v="1"/>
    <n v="80"/>
    <n v="0"/>
    <n v="26"/>
    <n v="2"/>
    <n v="3"/>
    <n v="24"/>
    <n v="10"/>
    <n v="1"/>
    <n v="11"/>
  </r>
  <r>
    <n v="55"/>
    <x v="1"/>
    <x v="1"/>
    <s v="Non-Travel"/>
    <n v="177"/>
    <x v="1"/>
    <n v="8"/>
    <n v="1"/>
    <x v="2"/>
    <n v="1"/>
    <n v="1278"/>
    <n v="4"/>
    <x v="1"/>
    <n v="37"/>
    <n v="2"/>
    <n v="4"/>
    <x v="4"/>
    <n v="2"/>
    <x v="2"/>
    <n v="13577"/>
    <n v="25592"/>
    <n v="1"/>
    <s v="Y"/>
    <s v="Yes"/>
    <n v="15"/>
    <n v="3"/>
    <n v="4"/>
    <n v="80"/>
    <n v="1"/>
    <n v="34"/>
    <n v="3"/>
    <n v="3"/>
    <n v="33"/>
    <n v="9"/>
    <n v="15"/>
    <n v="0"/>
  </r>
  <r>
    <n v="21"/>
    <x v="3"/>
    <x v="0"/>
    <s v="Travel_Frequently"/>
    <n v="251"/>
    <x v="1"/>
    <n v="10"/>
    <n v="2"/>
    <x v="0"/>
    <n v="1"/>
    <n v="1279"/>
    <n v="1"/>
    <x v="0"/>
    <n v="45"/>
    <n v="2"/>
    <n v="1"/>
    <x v="2"/>
    <n v="3"/>
    <x v="0"/>
    <n v="2625"/>
    <n v="25308"/>
    <n v="1"/>
    <s v="Y"/>
    <s v="No"/>
    <n v="20"/>
    <n v="4"/>
    <n v="3"/>
    <n v="80"/>
    <n v="0"/>
    <n v="2"/>
    <n v="2"/>
    <n v="1"/>
    <n v="2"/>
    <n v="2"/>
    <n v="2"/>
    <n v="2"/>
  </r>
  <r>
    <n v="46"/>
    <x v="1"/>
    <x v="1"/>
    <s v="Travel_Rarely"/>
    <n v="168"/>
    <x v="0"/>
    <n v="4"/>
    <n v="2"/>
    <x v="3"/>
    <n v="1"/>
    <n v="1280"/>
    <n v="4"/>
    <x v="0"/>
    <n v="33"/>
    <n v="2"/>
    <n v="5"/>
    <x v="5"/>
    <n v="2"/>
    <x v="1"/>
    <n v="18789"/>
    <n v="9946"/>
    <n v="2"/>
    <s v="Y"/>
    <s v="No"/>
    <n v="14"/>
    <n v="3"/>
    <n v="3"/>
    <n v="80"/>
    <n v="1"/>
    <n v="26"/>
    <n v="2"/>
    <n v="3"/>
    <n v="11"/>
    <n v="4"/>
    <n v="0"/>
    <n v="8"/>
  </r>
  <r>
    <n v="34"/>
    <x v="2"/>
    <x v="1"/>
    <s v="Travel_Rarely"/>
    <n v="131"/>
    <x v="0"/>
    <n v="2"/>
    <n v="3"/>
    <x v="3"/>
    <n v="1"/>
    <n v="1281"/>
    <n v="3"/>
    <x v="0"/>
    <n v="86"/>
    <n v="3"/>
    <n v="2"/>
    <x v="0"/>
    <n v="1"/>
    <x v="0"/>
    <n v="4538"/>
    <n v="6039"/>
    <n v="0"/>
    <s v="Y"/>
    <s v="Yes"/>
    <n v="12"/>
    <n v="3"/>
    <n v="4"/>
    <n v="80"/>
    <n v="0"/>
    <n v="4"/>
    <n v="3"/>
    <n v="3"/>
    <n v="3"/>
    <n v="2"/>
    <n v="0"/>
    <n v="2"/>
  </r>
  <r>
    <n v="51"/>
    <x v="1"/>
    <x v="1"/>
    <s v="Travel_Frequently"/>
    <n v="237"/>
    <x v="0"/>
    <n v="9"/>
    <n v="3"/>
    <x v="0"/>
    <n v="1"/>
    <n v="1282"/>
    <n v="4"/>
    <x v="1"/>
    <n v="83"/>
    <n v="3"/>
    <n v="5"/>
    <x v="5"/>
    <n v="2"/>
    <x v="2"/>
    <n v="19847"/>
    <n v="19196"/>
    <n v="4"/>
    <s v="Y"/>
    <s v="Yes"/>
    <n v="24"/>
    <n v="4"/>
    <n v="1"/>
    <n v="80"/>
    <n v="1"/>
    <n v="31"/>
    <n v="5"/>
    <n v="2"/>
    <n v="29"/>
    <n v="10"/>
    <n v="11"/>
    <n v="10"/>
  </r>
  <r>
    <n v="59"/>
    <x v="1"/>
    <x v="1"/>
    <s v="Travel_Rarely"/>
    <n v="1429"/>
    <x v="1"/>
    <n v="18"/>
    <n v="4"/>
    <x v="2"/>
    <n v="1"/>
    <n v="1283"/>
    <n v="4"/>
    <x v="1"/>
    <n v="67"/>
    <n v="3"/>
    <n v="3"/>
    <x v="3"/>
    <n v="4"/>
    <x v="0"/>
    <n v="10512"/>
    <n v="20002"/>
    <n v="6"/>
    <s v="Y"/>
    <s v="No"/>
    <n v="12"/>
    <n v="3"/>
    <n v="4"/>
    <n v="80"/>
    <n v="0"/>
    <n v="25"/>
    <n v="6"/>
    <n v="2"/>
    <n v="9"/>
    <n v="7"/>
    <n v="5"/>
    <n v="4"/>
  </r>
  <r>
    <n v="34"/>
    <x v="2"/>
    <x v="1"/>
    <s v="Travel_Frequently"/>
    <n v="135"/>
    <x v="1"/>
    <n v="19"/>
    <n v="3"/>
    <x v="2"/>
    <n v="1"/>
    <n v="1285"/>
    <n v="3"/>
    <x v="0"/>
    <n v="46"/>
    <n v="3"/>
    <n v="2"/>
    <x v="2"/>
    <n v="2"/>
    <x v="2"/>
    <n v="4444"/>
    <n v="22534"/>
    <n v="4"/>
    <s v="Y"/>
    <s v="No"/>
    <n v="13"/>
    <n v="3"/>
    <n v="3"/>
    <n v="80"/>
    <n v="2"/>
    <n v="15"/>
    <n v="2"/>
    <n v="4"/>
    <n v="11"/>
    <n v="8"/>
    <n v="5"/>
    <n v="10"/>
  </r>
  <r>
    <n v="28"/>
    <x v="2"/>
    <x v="1"/>
    <s v="Travel_Frequently"/>
    <n v="791"/>
    <x v="1"/>
    <n v="1"/>
    <n v="4"/>
    <x v="2"/>
    <n v="1"/>
    <n v="1286"/>
    <n v="4"/>
    <x v="1"/>
    <n v="44"/>
    <n v="3"/>
    <n v="1"/>
    <x v="2"/>
    <n v="3"/>
    <x v="0"/>
    <n v="2154"/>
    <n v="6842"/>
    <n v="0"/>
    <s v="Y"/>
    <s v="Yes"/>
    <n v="11"/>
    <n v="3"/>
    <n v="3"/>
    <n v="80"/>
    <n v="0"/>
    <n v="5"/>
    <n v="2"/>
    <n v="2"/>
    <n v="4"/>
    <n v="2"/>
    <n v="0"/>
    <n v="2"/>
  </r>
  <r>
    <n v="44"/>
    <x v="0"/>
    <x v="1"/>
    <s v="Travel_Rarely"/>
    <n v="1199"/>
    <x v="1"/>
    <n v="4"/>
    <n v="2"/>
    <x v="0"/>
    <n v="1"/>
    <n v="1288"/>
    <n v="3"/>
    <x v="1"/>
    <n v="92"/>
    <n v="4"/>
    <n v="5"/>
    <x v="5"/>
    <n v="1"/>
    <x v="2"/>
    <n v="19190"/>
    <n v="17477"/>
    <n v="1"/>
    <s v="Y"/>
    <s v="No"/>
    <n v="14"/>
    <n v="3"/>
    <n v="4"/>
    <n v="80"/>
    <n v="2"/>
    <n v="26"/>
    <n v="4"/>
    <n v="2"/>
    <n v="25"/>
    <n v="9"/>
    <n v="14"/>
    <n v="13"/>
  </r>
  <r>
    <n v="34"/>
    <x v="2"/>
    <x v="1"/>
    <s v="Travel_Frequently"/>
    <n v="648"/>
    <x v="2"/>
    <n v="11"/>
    <n v="3"/>
    <x v="0"/>
    <n v="1"/>
    <n v="1289"/>
    <n v="3"/>
    <x v="1"/>
    <n v="56"/>
    <n v="2"/>
    <n v="2"/>
    <x v="8"/>
    <n v="2"/>
    <x v="1"/>
    <n v="4490"/>
    <n v="21833"/>
    <n v="4"/>
    <s v="Y"/>
    <s v="No"/>
    <n v="11"/>
    <n v="3"/>
    <n v="4"/>
    <n v="80"/>
    <n v="2"/>
    <n v="14"/>
    <n v="5"/>
    <n v="4"/>
    <n v="10"/>
    <n v="9"/>
    <n v="1"/>
    <n v="8"/>
  </r>
  <r>
    <n v="35"/>
    <x v="2"/>
    <x v="1"/>
    <s v="Travel_Rarely"/>
    <n v="735"/>
    <x v="1"/>
    <n v="6"/>
    <n v="1"/>
    <x v="0"/>
    <n v="1"/>
    <n v="1291"/>
    <n v="3"/>
    <x v="1"/>
    <n v="66"/>
    <n v="3"/>
    <n v="1"/>
    <x v="1"/>
    <n v="3"/>
    <x v="1"/>
    <n v="3506"/>
    <n v="6020"/>
    <n v="0"/>
    <s v="Y"/>
    <s v="Yes"/>
    <n v="14"/>
    <n v="3"/>
    <n v="4"/>
    <n v="80"/>
    <n v="0"/>
    <n v="4"/>
    <n v="3"/>
    <n v="3"/>
    <n v="3"/>
    <n v="2"/>
    <n v="2"/>
    <n v="2"/>
  </r>
  <r>
    <n v="42"/>
    <x v="0"/>
    <x v="1"/>
    <s v="Travel_Rarely"/>
    <n v="603"/>
    <x v="1"/>
    <n v="7"/>
    <n v="4"/>
    <x v="2"/>
    <n v="1"/>
    <n v="1292"/>
    <n v="2"/>
    <x v="0"/>
    <n v="78"/>
    <n v="4"/>
    <n v="2"/>
    <x v="1"/>
    <n v="2"/>
    <x v="1"/>
    <n v="2372"/>
    <n v="5628"/>
    <n v="6"/>
    <s v="Y"/>
    <s v="Yes"/>
    <n v="16"/>
    <n v="3"/>
    <n v="4"/>
    <n v="80"/>
    <n v="0"/>
    <n v="18"/>
    <n v="2"/>
    <n v="3"/>
    <n v="1"/>
    <n v="0"/>
    <n v="0"/>
    <n v="0"/>
  </r>
  <r>
    <n v="43"/>
    <x v="0"/>
    <x v="1"/>
    <s v="Travel_Rarely"/>
    <n v="531"/>
    <x v="0"/>
    <n v="4"/>
    <n v="4"/>
    <x v="3"/>
    <n v="1"/>
    <n v="1293"/>
    <n v="4"/>
    <x v="0"/>
    <n v="56"/>
    <n v="2"/>
    <n v="3"/>
    <x v="0"/>
    <n v="4"/>
    <x v="0"/>
    <n v="10231"/>
    <n v="20364"/>
    <n v="3"/>
    <s v="Y"/>
    <s v="No"/>
    <n v="14"/>
    <n v="3"/>
    <n v="4"/>
    <n v="80"/>
    <n v="0"/>
    <n v="23"/>
    <n v="3"/>
    <n v="4"/>
    <n v="21"/>
    <n v="7"/>
    <n v="15"/>
    <n v="17"/>
  </r>
  <r>
    <n v="36"/>
    <x v="0"/>
    <x v="1"/>
    <s v="Travel_Rarely"/>
    <n v="429"/>
    <x v="1"/>
    <n v="2"/>
    <n v="4"/>
    <x v="0"/>
    <n v="1"/>
    <n v="1294"/>
    <n v="3"/>
    <x v="0"/>
    <n v="53"/>
    <n v="3"/>
    <n v="2"/>
    <x v="3"/>
    <n v="2"/>
    <x v="0"/>
    <n v="5410"/>
    <n v="2323"/>
    <n v="9"/>
    <s v="Y"/>
    <s v="Yes"/>
    <n v="11"/>
    <n v="3"/>
    <n v="4"/>
    <n v="80"/>
    <n v="0"/>
    <n v="18"/>
    <n v="2"/>
    <n v="3"/>
    <n v="16"/>
    <n v="14"/>
    <n v="5"/>
    <n v="12"/>
  </r>
  <r>
    <n v="44"/>
    <x v="0"/>
    <x v="0"/>
    <s v="Travel_Rarely"/>
    <n v="621"/>
    <x v="1"/>
    <n v="15"/>
    <n v="3"/>
    <x v="2"/>
    <n v="1"/>
    <n v="1295"/>
    <n v="1"/>
    <x v="0"/>
    <n v="73"/>
    <n v="3"/>
    <n v="3"/>
    <x v="4"/>
    <n v="4"/>
    <x v="1"/>
    <n v="7978"/>
    <n v="14075"/>
    <n v="1"/>
    <s v="Y"/>
    <s v="No"/>
    <n v="11"/>
    <n v="3"/>
    <n v="4"/>
    <n v="80"/>
    <n v="1"/>
    <n v="10"/>
    <n v="2"/>
    <n v="3"/>
    <n v="10"/>
    <n v="7"/>
    <n v="0"/>
    <n v="5"/>
  </r>
  <r>
    <n v="28"/>
    <x v="2"/>
    <x v="1"/>
    <s v="Travel_Frequently"/>
    <n v="193"/>
    <x v="1"/>
    <n v="2"/>
    <n v="3"/>
    <x v="0"/>
    <n v="1"/>
    <n v="1296"/>
    <n v="4"/>
    <x v="1"/>
    <n v="52"/>
    <n v="2"/>
    <n v="1"/>
    <x v="2"/>
    <n v="4"/>
    <x v="1"/>
    <n v="3867"/>
    <n v="14222"/>
    <n v="1"/>
    <s v="Y"/>
    <s v="Yes"/>
    <n v="12"/>
    <n v="3"/>
    <n v="2"/>
    <n v="80"/>
    <n v="1"/>
    <n v="2"/>
    <n v="2"/>
    <n v="3"/>
    <n v="2"/>
    <n v="2"/>
    <n v="2"/>
    <n v="2"/>
  </r>
  <r>
    <n v="51"/>
    <x v="1"/>
    <x v="1"/>
    <s v="Travel_Frequently"/>
    <n v="968"/>
    <x v="1"/>
    <n v="6"/>
    <n v="2"/>
    <x v="2"/>
    <n v="1"/>
    <n v="1297"/>
    <n v="2"/>
    <x v="0"/>
    <n v="40"/>
    <n v="2"/>
    <n v="1"/>
    <x v="2"/>
    <n v="3"/>
    <x v="0"/>
    <n v="2838"/>
    <n v="4257"/>
    <n v="0"/>
    <s v="Y"/>
    <s v="No"/>
    <n v="14"/>
    <n v="3"/>
    <n v="2"/>
    <n v="80"/>
    <n v="0"/>
    <n v="8"/>
    <n v="6"/>
    <n v="2"/>
    <n v="7"/>
    <n v="0"/>
    <n v="7"/>
    <n v="7"/>
  </r>
  <r>
    <n v="30"/>
    <x v="2"/>
    <x v="1"/>
    <s v="Non-Travel"/>
    <n v="879"/>
    <x v="1"/>
    <n v="9"/>
    <n v="2"/>
    <x v="2"/>
    <n v="1"/>
    <n v="1298"/>
    <n v="3"/>
    <x v="0"/>
    <n v="72"/>
    <n v="3"/>
    <n v="2"/>
    <x v="3"/>
    <n v="3"/>
    <x v="0"/>
    <n v="4695"/>
    <n v="12858"/>
    <n v="7"/>
    <s v="Y"/>
    <s v="Yes"/>
    <n v="18"/>
    <n v="3"/>
    <n v="3"/>
    <n v="80"/>
    <n v="0"/>
    <n v="10"/>
    <n v="3"/>
    <n v="3"/>
    <n v="8"/>
    <n v="4"/>
    <n v="1"/>
    <n v="7"/>
  </r>
  <r>
    <n v="29"/>
    <x v="2"/>
    <x v="0"/>
    <s v="Travel_Rarely"/>
    <n v="806"/>
    <x v="1"/>
    <n v="7"/>
    <n v="3"/>
    <x v="4"/>
    <n v="1"/>
    <n v="1299"/>
    <n v="2"/>
    <x v="0"/>
    <n v="39"/>
    <n v="3"/>
    <n v="1"/>
    <x v="2"/>
    <n v="3"/>
    <x v="2"/>
    <n v="3339"/>
    <n v="17285"/>
    <n v="3"/>
    <s v="Y"/>
    <s v="Yes"/>
    <n v="13"/>
    <n v="3"/>
    <n v="1"/>
    <n v="80"/>
    <n v="2"/>
    <n v="10"/>
    <n v="2"/>
    <n v="3"/>
    <n v="7"/>
    <n v="7"/>
    <n v="7"/>
    <n v="7"/>
  </r>
  <r>
    <n v="28"/>
    <x v="2"/>
    <x v="1"/>
    <s v="Travel_Rarely"/>
    <n v="640"/>
    <x v="1"/>
    <n v="1"/>
    <n v="3"/>
    <x v="4"/>
    <n v="1"/>
    <n v="1301"/>
    <n v="4"/>
    <x v="1"/>
    <n v="84"/>
    <n v="3"/>
    <n v="1"/>
    <x v="1"/>
    <n v="1"/>
    <x v="0"/>
    <n v="2080"/>
    <n v="4732"/>
    <n v="2"/>
    <s v="Y"/>
    <s v="No"/>
    <n v="11"/>
    <n v="3"/>
    <n v="2"/>
    <n v="80"/>
    <n v="0"/>
    <n v="5"/>
    <n v="2"/>
    <n v="2"/>
    <n v="3"/>
    <n v="2"/>
    <n v="1"/>
    <n v="2"/>
  </r>
  <r>
    <n v="25"/>
    <x v="3"/>
    <x v="1"/>
    <s v="Travel_Rarely"/>
    <n v="266"/>
    <x v="1"/>
    <n v="1"/>
    <n v="3"/>
    <x v="2"/>
    <n v="1"/>
    <n v="1303"/>
    <n v="4"/>
    <x v="0"/>
    <n v="40"/>
    <n v="3"/>
    <n v="1"/>
    <x v="1"/>
    <n v="2"/>
    <x v="0"/>
    <n v="2096"/>
    <n v="18830"/>
    <n v="1"/>
    <s v="Y"/>
    <s v="No"/>
    <n v="18"/>
    <n v="3"/>
    <n v="4"/>
    <n v="80"/>
    <n v="0"/>
    <n v="2"/>
    <n v="3"/>
    <n v="2"/>
    <n v="2"/>
    <n v="2"/>
    <n v="2"/>
    <n v="1"/>
  </r>
  <r>
    <n v="32"/>
    <x v="2"/>
    <x v="1"/>
    <s v="Travel_Rarely"/>
    <n v="604"/>
    <x v="0"/>
    <n v="8"/>
    <n v="3"/>
    <x v="2"/>
    <n v="1"/>
    <n v="1304"/>
    <n v="3"/>
    <x v="1"/>
    <n v="56"/>
    <n v="4"/>
    <n v="2"/>
    <x v="0"/>
    <n v="4"/>
    <x v="1"/>
    <n v="6209"/>
    <n v="11693"/>
    <n v="1"/>
    <s v="Y"/>
    <s v="No"/>
    <n v="15"/>
    <n v="3"/>
    <n v="3"/>
    <n v="80"/>
    <n v="2"/>
    <n v="10"/>
    <n v="4"/>
    <n v="4"/>
    <n v="10"/>
    <n v="7"/>
    <n v="0"/>
    <n v="8"/>
  </r>
  <r>
    <n v="45"/>
    <x v="0"/>
    <x v="1"/>
    <s v="Travel_Frequently"/>
    <n v="364"/>
    <x v="1"/>
    <n v="25"/>
    <n v="3"/>
    <x v="2"/>
    <n v="1"/>
    <n v="1306"/>
    <n v="2"/>
    <x v="0"/>
    <n v="83"/>
    <n v="3"/>
    <n v="5"/>
    <x v="5"/>
    <n v="2"/>
    <x v="0"/>
    <n v="18061"/>
    <n v="13035"/>
    <n v="3"/>
    <s v="Y"/>
    <s v="No"/>
    <n v="22"/>
    <n v="4"/>
    <n v="3"/>
    <n v="80"/>
    <n v="0"/>
    <n v="22"/>
    <n v="4"/>
    <n v="3"/>
    <n v="0"/>
    <n v="0"/>
    <n v="0"/>
    <n v="0"/>
  </r>
  <r>
    <n v="39"/>
    <x v="0"/>
    <x v="1"/>
    <s v="Travel_Rarely"/>
    <n v="412"/>
    <x v="1"/>
    <n v="13"/>
    <n v="4"/>
    <x v="2"/>
    <n v="1"/>
    <n v="1307"/>
    <n v="3"/>
    <x v="0"/>
    <n v="94"/>
    <n v="2"/>
    <n v="4"/>
    <x v="5"/>
    <n v="2"/>
    <x v="2"/>
    <n v="17123"/>
    <n v="17334"/>
    <n v="6"/>
    <s v="Y"/>
    <s v="Yes"/>
    <n v="13"/>
    <n v="3"/>
    <n v="4"/>
    <n v="80"/>
    <n v="2"/>
    <n v="21"/>
    <n v="4"/>
    <n v="3"/>
    <n v="19"/>
    <n v="9"/>
    <n v="15"/>
    <n v="2"/>
  </r>
  <r>
    <n v="58"/>
    <x v="1"/>
    <x v="1"/>
    <s v="Travel_Rarely"/>
    <n v="848"/>
    <x v="1"/>
    <n v="23"/>
    <n v="4"/>
    <x v="0"/>
    <n v="1"/>
    <n v="1308"/>
    <n v="1"/>
    <x v="1"/>
    <n v="88"/>
    <n v="3"/>
    <n v="1"/>
    <x v="1"/>
    <n v="3"/>
    <x v="2"/>
    <n v="2372"/>
    <n v="26076"/>
    <n v="1"/>
    <s v="Y"/>
    <s v="No"/>
    <n v="12"/>
    <n v="3"/>
    <n v="4"/>
    <n v="80"/>
    <n v="2"/>
    <n v="2"/>
    <n v="3"/>
    <n v="3"/>
    <n v="2"/>
    <n v="2"/>
    <n v="2"/>
    <n v="2"/>
  </r>
  <r>
    <n v="32"/>
    <x v="2"/>
    <x v="0"/>
    <s v="Travel_Rarely"/>
    <n v="1089"/>
    <x v="1"/>
    <n v="7"/>
    <n v="2"/>
    <x v="0"/>
    <n v="1"/>
    <n v="1309"/>
    <n v="4"/>
    <x v="1"/>
    <n v="79"/>
    <n v="3"/>
    <n v="2"/>
    <x v="2"/>
    <n v="3"/>
    <x v="1"/>
    <n v="4883"/>
    <n v="22845"/>
    <n v="1"/>
    <s v="Y"/>
    <s v="No"/>
    <n v="18"/>
    <n v="3"/>
    <n v="1"/>
    <n v="80"/>
    <n v="1"/>
    <n v="10"/>
    <n v="3"/>
    <n v="3"/>
    <n v="10"/>
    <n v="4"/>
    <n v="1"/>
    <n v="1"/>
  </r>
  <r>
    <n v="39"/>
    <x v="0"/>
    <x v="0"/>
    <s v="Travel_Rarely"/>
    <n v="360"/>
    <x v="1"/>
    <n v="23"/>
    <n v="3"/>
    <x v="2"/>
    <n v="1"/>
    <n v="1310"/>
    <n v="3"/>
    <x v="1"/>
    <n v="93"/>
    <n v="3"/>
    <n v="1"/>
    <x v="1"/>
    <n v="1"/>
    <x v="0"/>
    <n v="3904"/>
    <n v="22154"/>
    <n v="0"/>
    <s v="Y"/>
    <s v="No"/>
    <n v="13"/>
    <n v="3"/>
    <n v="1"/>
    <n v="80"/>
    <n v="0"/>
    <n v="6"/>
    <n v="2"/>
    <n v="3"/>
    <n v="5"/>
    <n v="2"/>
    <n v="0"/>
    <n v="3"/>
  </r>
  <r>
    <n v="30"/>
    <x v="2"/>
    <x v="1"/>
    <s v="Travel_Rarely"/>
    <n v="1138"/>
    <x v="1"/>
    <n v="6"/>
    <n v="3"/>
    <x v="4"/>
    <n v="1"/>
    <n v="1311"/>
    <n v="1"/>
    <x v="0"/>
    <n v="48"/>
    <n v="2"/>
    <n v="2"/>
    <x v="2"/>
    <n v="4"/>
    <x v="1"/>
    <n v="4627"/>
    <n v="23631"/>
    <n v="0"/>
    <s v="Y"/>
    <s v="No"/>
    <n v="12"/>
    <n v="3"/>
    <n v="1"/>
    <n v="80"/>
    <n v="1"/>
    <n v="10"/>
    <n v="6"/>
    <n v="3"/>
    <n v="9"/>
    <n v="2"/>
    <n v="6"/>
    <n v="7"/>
  </r>
  <r>
    <n v="36"/>
    <x v="0"/>
    <x v="1"/>
    <s v="Travel_Rarely"/>
    <n v="325"/>
    <x v="1"/>
    <n v="10"/>
    <n v="4"/>
    <x v="4"/>
    <n v="1"/>
    <n v="1312"/>
    <n v="4"/>
    <x v="0"/>
    <n v="63"/>
    <n v="3"/>
    <n v="3"/>
    <x v="4"/>
    <n v="3"/>
    <x v="1"/>
    <n v="7094"/>
    <n v="5747"/>
    <n v="3"/>
    <s v="Y"/>
    <s v="No"/>
    <n v="12"/>
    <n v="3"/>
    <n v="1"/>
    <n v="80"/>
    <n v="0"/>
    <n v="10"/>
    <n v="0"/>
    <n v="3"/>
    <n v="7"/>
    <n v="7"/>
    <n v="1"/>
    <n v="7"/>
  </r>
  <r>
    <n v="46"/>
    <x v="1"/>
    <x v="1"/>
    <s v="Travel_Rarely"/>
    <n v="991"/>
    <x v="2"/>
    <n v="1"/>
    <n v="2"/>
    <x v="0"/>
    <n v="1"/>
    <n v="1314"/>
    <n v="4"/>
    <x v="0"/>
    <n v="44"/>
    <n v="3"/>
    <n v="1"/>
    <x v="8"/>
    <n v="1"/>
    <x v="0"/>
    <n v="3423"/>
    <n v="22957"/>
    <n v="6"/>
    <s v="Y"/>
    <s v="No"/>
    <n v="12"/>
    <n v="3"/>
    <n v="3"/>
    <n v="80"/>
    <n v="0"/>
    <n v="10"/>
    <n v="3"/>
    <n v="4"/>
    <n v="7"/>
    <n v="6"/>
    <n v="5"/>
    <n v="7"/>
  </r>
  <r>
    <n v="28"/>
    <x v="2"/>
    <x v="1"/>
    <s v="Non-Travel"/>
    <n v="1476"/>
    <x v="1"/>
    <n v="1"/>
    <n v="3"/>
    <x v="0"/>
    <n v="1"/>
    <n v="1315"/>
    <n v="3"/>
    <x v="0"/>
    <n v="55"/>
    <n v="1"/>
    <n v="2"/>
    <x v="2"/>
    <n v="4"/>
    <x v="1"/>
    <n v="6674"/>
    <n v="16392"/>
    <n v="0"/>
    <s v="Y"/>
    <s v="No"/>
    <n v="11"/>
    <n v="3"/>
    <n v="1"/>
    <n v="80"/>
    <n v="3"/>
    <n v="10"/>
    <n v="6"/>
    <n v="3"/>
    <n v="9"/>
    <n v="8"/>
    <n v="7"/>
    <n v="5"/>
  </r>
  <r>
    <n v="50"/>
    <x v="1"/>
    <x v="1"/>
    <s v="Travel_Rarely"/>
    <n v="1322"/>
    <x v="1"/>
    <n v="28"/>
    <n v="3"/>
    <x v="0"/>
    <n v="1"/>
    <n v="1317"/>
    <n v="4"/>
    <x v="0"/>
    <n v="43"/>
    <n v="3"/>
    <n v="4"/>
    <x v="7"/>
    <n v="1"/>
    <x v="1"/>
    <n v="16880"/>
    <n v="22422"/>
    <n v="4"/>
    <s v="Y"/>
    <s v="Yes"/>
    <n v="11"/>
    <n v="3"/>
    <n v="2"/>
    <n v="80"/>
    <n v="0"/>
    <n v="25"/>
    <n v="2"/>
    <n v="3"/>
    <n v="3"/>
    <n v="2"/>
    <n v="1"/>
    <n v="2"/>
  </r>
  <r>
    <n v="40"/>
    <x v="0"/>
    <x v="0"/>
    <s v="Travel_Rarely"/>
    <n v="299"/>
    <x v="0"/>
    <n v="25"/>
    <n v="4"/>
    <x v="3"/>
    <n v="1"/>
    <n v="1318"/>
    <n v="4"/>
    <x v="1"/>
    <n v="57"/>
    <n v="2"/>
    <n v="3"/>
    <x v="0"/>
    <n v="2"/>
    <x v="0"/>
    <n v="9094"/>
    <n v="17235"/>
    <n v="2"/>
    <s v="Y"/>
    <s v="Yes"/>
    <n v="12"/>
    <n v="3"/>
    <n v="3"/>
    <n v="80"/>
    <n v="0"/>
    <n v="9"/>
    <n v="2"/>
    <n v="3"/>
    <n v="5"/>
    <n v="4"/>
    <n v="1"/>
    <n v="0"/>
  </r>
  <r>
    <n v="52"/>
    <x v="1"/>
    <x v="0"/>
    <s v="Travel_Rarely"/>
    <n v="1030"/>
    <x v="0"/>
    <n v="5"/>
    <n v="3"/>
    <x v="0"/>
    <n v="1"/>
    <n v="1319"/>
    <n v="2"/>
    <x v="1"/>
    <n v="64"/>
    <n v="3"/>
    <n v="3"/>
    <x v="0"/>
    <n v="2"/>
    <x v="0"/>
    <n v="8446"/>
    <n v="21534"/>
    <n v="9"/>
    <s v="Y"/>
    <s v="Yes"/>
    <n v="19"/>
    <n v="3"/>
    <n v="3"/>
    <n v="80"/>
    <n v="0"/>
    <n v="10"/>
    <n v="2"/>
    <n v="2"/>
    <n v="8"/>
    <n v="7"/>
    <n v="7"/>
    <n v="7"/>
  </r>
  <r>
    <n v="30"/>
    <x v="2"/>
    <x v="1"/>
    <s v="Travel_Rarely"/>
    <n v="634"/>
    <x v="1"/>
    <n v="17"/>
    <n v="4"/>
    <x v="2"/>
    <n v="1"/>
    <n v="1321"/>
    <n v="2"/>
    <x v="0"/>
    <n v="95"/>
    <n v="3"/>
    <n v="3"/>
    <x v="5"/>
    <n v="1"/>
    <x v="1"/>
    <n v="11916"/>
    <n v="25927"/>
    <n v="1"/>
    <s v="Y"/>
    <s v="Yes"/>
    <n v="23"/>
    <n v="4"/>
    <n v="4"/>
    <n v="80"/>
    <n v="2"/>
    <n v="9"/>
    <n v="2"/>
    <n v="3"/>
    <n v="9"/>
    <n v="1"/>
    <n v="0"/>
    <n v="8"/>
  </r>
  <r>
    <n v="39"/>
    <x v="0"/>
    <x v="1"/>
    <s v="Travel_Rarely"/>
    <n v="524"/>
    <x v="1"/>
    <n v="18"/>
    <n v="2"/>
    <x v="0"/>
    <n v="1"/>
    <n v="1322"/>
    <n v="1"/>
    <x v="1"/>
    <n v="32"/>
    <n v="3"/>
    <n v="2"/>
    <x v="3"/>
    <n v="3"/>
    <x v="0"/>
    <n v="4534"/>
    <n v="13352"/>
    <n v="0"/>
    <s v="Y"/>
    <s v="No"/>
    <n v="11"/>
    <n v="3"/>
    <n v="1"/>
    <n v="80"/>
    <n v="0"/>
    <n v="9"/>
    <n v="6"/>
    <n v="3"/>
    <n v="8"/>
    <n v="7"/>
    <n v="1"/>
    <n v="7"/>
  </r>
  <r>
    <n v="31"/>
    <x v="2"/>
    <x v="1"/>
    <s v="Non-Travel"/>
    <n v="587"/>
    <x v="0"/>
    <n v="2"/>
    <n v="4"/>
    <x v="0"/>
    <n v="1"/>
    <n v="1324"/>
    <n v="4"/>
    <x v="0"/>
    <n v="57"/>
    <n v="3"/>
    <n v="3"/>
    <x v="0"/>
    <n v="3"/>
    <x v="2"/>
    <n v="9852"/>
    <n v="8935"/>
    <n v="1"/>
    <s v="Y"/>
    <s v="Yes"/>
    <n v="19"/>
    <n v="3"/>
    <n v="1"/>
    <n v="80"/>
    <n v="1"/>
    <n v="10"/>
    <n v="5"/>
    <n v="2"/>
    <n v="10"/>
    <n v="8"/>
    <n v="9"/>
    <n v="6"/>
  </r>
  <r>
    <n v="41"/>
    <x v="0"/>
    <x v="1"/>
    <s v="Non-Travel"/>
    <n v="256"/>
    <x v="0"/>
    <n v="10"/>
    <n v="2"/>
    <x v="2"/>
    <n v="1"/>
    <n v="1329"/>
    <n v="3"/>
    <x v="1"/>
    <n v="40"/>
    <n v="1"/>
    <n v="2"/>
    <x v="0"/>
    <n v="2"/>
    <x v="0"/>
    <n v="6151"/>
    <n v="22074"/>
    <n v="1"/>
    <s v="Y"/>
    <s v="No"/>
    <n v="13"/>
    <n v="3"/>
    <n v="1"/>
    <n v="80"/>
    <n v="0"/>
    <n v="19"/>
    <n v="4"/>
    <n v="3"/>
    <n v="19"/>
    <n v="2"/>
    <n v="11"/>
    <n v="9"/>
  </r>
  <r>
    <n v="31"/>
    <x v="2"/>
    <x v="0"/>
    <s v="Travel_Frequently"/>
    <n v="1060"/>
    <x v="0"/>
    <n v="1"/>
    <n v="3"/>
    <x v="0"/>
    <n v="1"/>
    <n v="1331"/>
    <n v="4"/>
    <x v="0"/>
    <n v="54"/>
    <n v="3"/>
    <n v="1"/>
    <x v="6"/>
    <n v="2"/>
    <x v="0"/>
    <n v="2302"/>
    <n v="8319"/>
    <n v="1"/>
    <s v="Y"/>
    <s v="Yes"/>
    <n v="11"/>
    <n v="3"/>
    <n v="1"/>
    <n v="80"/>
    <n v="0"/>
    <n v="3"/>
    <n v="2"/>
    <n v="4"/>
    <n v="3"/>
    <n v="2"/>
    <n v="2"/>
    <n v="2"/>
  </r>
  <r>
    <n v="44"/>
    <x v="0"/>
    <x v="0"/>
    <s v="Travel_Rarely"/>
    <n v="935"/>
    <x v="1"/>
    <n v="3"/>
    <n v="3"/>
    <x v="0"/>
    <n v="1"/>
    <n v="1333"/>
    <n v="1"/>
    <x v="1"/>
    <n v="89"/>
    <n v="3"/>
    <n v="1"/>
    <x v="2"/>
    <n v="1"/>
    <x v="1"/>
    <n v="2362"/>
    <n v="14669"/>
    <n v="4"/>
    <s v="Y"/>
    <s v="No"/>
    <n v="12"/>
    <n v="3"/>
    <n v="3"/>
    <n v="80"/>
    <n v="0"/>
    <n v="10"/>
    <n v="4"/>
    <n v="4"/>
    <n v="3"/>
    <n v="2"/>
    <n v="1"/>
    <n v="2"/>
  </r>
  <r>
    <n v="42"/>
    <x v="0"/>
    <x v="1"/>
    <s v="Non-Travel"/>
    <n v="495"/>
    <x v="1"/>
    <n v="2"/>
    <n v="1"/>
    <x v="0"/>
    <n v="1"/>
    <n v="1334"/>
    <n v="3"/>
    <x v="1"/>
    <n v="37"/>
    <n v="3"/>
    <n v="4"/>
    <x v="5"/>
    <n v="3"/>
    <x v="1"/>
    <n v="17861"/>
    <n v="26582"/>
    <n v="0"/>
    <s v="Y"/>
    <s v="Yes"/>
    <n v="13"/>
    <n v="3"/>
    <n v="4"/>
    <n v="80"/>
    <n v="0"/>
    <n v="21"/>
    <n v="3"/>
    <n v="2"/>
    <n v="20"/>
    <n v="8"/>
    <n v="2"/>
    <n v="10"/>
  </r>
  <r>
    <n v="55"/>
    <x v="1"/>
    <x v="1"/>
    <s v="Travel_Rarely"/>
    <n v="282"/>
    <x v="1"/>
    <n v="2"/>
    <n v="2"/>
    <x v="2"/>
    <n v="1"/>
    <n v="1336"/>
    <n v="4"/>
    <x v="0"/>
    <n v="58"/>
    <n v="1"/>
    <n v="5"/>
    <x v="5"/>
    <n v="3"/>
    <x v="1"/>
    <n v="19187"/>
    <n v="6992"/>
    <n v="4"/>
    <s v="Y"/>
    <s v="No"/>
    <n v="14"/>
    <n v="3"/>
    <n v="4"/>
    <n v="80"/>
    <n v="1"/>
    <n v="23"/>
    <n v="5"/>
    <n v="3"/>
    <n v="19"/>
    <n v="9"/>
    <n v="9"/>
    <n v="11"/>
  </r>
  <r>
    <n v="56"/>
    <x v="1"/>
    <x v="1"/>
    <s v="Travel_Rarely"/>
    <n v="206"/>
    <x v="2"/>
    <n v="8"/>
    <n v="4"/>
    <x v="0"/>
    <n v="1"/>
    <n v="1338"/>
    <n v="4"/>
    <x v="1"/>
    <n v="99"/>
    <n v="3"/>
    <n v="5"/>
    <x v="5"/>
    <n v="2"/>
    <x v="0"/>
    <n v="19717"/>
    <n v="4022"/>
    <n v="6"/>
    <s v="Y"/>
    <s v="No"/>
    <n v="14"/>
    <n v="3"/>
    <n v="1"/>
    <n v="80"/>
    <n v="0"/>
    <n v="36"/>
    <n v="4"/>
    <n v="3"/>
    <n v="7"/>
    <n v="3"/>
    <n v="7"/>
    <n v="7"/>
  </r>
  <r>
    <n v="40"/>
    <x v="0"/>
    <x v="1"/>
    <s v="Non-Travel"/>
    <n v="458"/>
    <x v="1"/>
    <n v="16"/>
    <n v="2"/>
    <x v="0"/>
    <n v="1"/>
    <n v="1340"/>
    <n v="3"/>
    <x v="1"/>
    <n v="74"/>
    <n v="3"/>
    <n v="1"/>
    <x v="1"/>
    <n v="3"/>
    <x v="2"/>
    <n v="3544"/>
    <n v="8532"/>
    <n v="9"/>
    <s v="Y"/>
    <s v="No"/>
    <n v="16"/>
    <n v="3"/>
    <n v="2"/>
    <n v="80"/>
    <n v="1"/>
    <n v="6"/>
    <n v="0"/>
    <n v="3"/>
    <n v="4"/>
    <n v="2"/>
    <n v="0"/>
    <n v="0"/>
  </r>
  <r>
    <n v="34"/>
    <x v="2"/>
    <x v="1"/>
    <s v="Travel_Rarely"/>
    <n v="943"/>
    <x v="1"/>
    <n v="9"/>
    <n v="3"/>
    <x v="0"/>
    <n v="1"/>
    <n v="1344"/>
    <n v="4"/>
    <x v="1"/>
    <n v="86"/>
    <n v="3"/>
    <n v="3"/>
    <x v="4"/>
    <n v="4"/>
    <x v="2"/>
    <n v="8500"/>
    <n v="5494"/>
    <n v="0"/>
    <s v="Y"/>
    <s v="No"/>
    <n v="11"/>
    <n v="3"/>
    <n v="4"/>
    <n v="80"/>
    <n v="1"/>
    <n v="10"/>
    <n v="0"/>
    <n v="2"/>
    <n v="9"/>
    <n v="7"/>
    <n v="1"/>
    <n v="6"/>
  </r>
  <r>
    <n v="40"/>
    <x v="0"/>
    <x v="1"/>
    <s v="Travel_Rarely"/>
    <n v="523"/>
    <x v="1"/>
    <n v="2"/>
    <n v="3"/>
    <x v="0"/>
    <n v="1"/>
    <n v="1346"/>
    <n v="3"/>
    <x v="1"/>
    <n v="98"/>
    <n v="3"/>
    <n v="2"/>
    <x v="1"/>
    <n v="4"/>
    <x v="0"/>
    <n v="4661"/>
    <n v="22455"/>
    <n v="1"/>
    <s v="Y"/>
    <s v="No"/>
    <n v="13"/>
    <n v="3"/>
    <n v="3"/>
    <n v="80"/>
    <n v="0"/>
    <n v="9"/>
    <n v="4"/>
    <n v="3"/>
    <n v="9"/>
    <n v="8"/>
    <n v="8"/>
    <n v="8"/>
  </r>
  <r>
    <n v="41"/>
    <x v="0"/>
    <x v="1"/>
    <s v="Travel_Frequently"/>
    <n v="1018"/>
    <x v="0"/>
    <n v="1"/>
    <n v="3"/>
    <x v="3"/>
    <n v="1"/>
    <n v="1349"/>
    <n v="3"/>
    <x v="0"/>
    <n v="66"/>
    <n v="3"/>
    <n v="2"/>
    <x v="0"/>
    <n v="1"/>
    <x v="2"/>
    <n v="4103"/>
    <n v="4297"/>
    <n v="0"/>
    <s v="Y"/>
    <s v="No"/>
    <n v="17"/>
    <n v="3"/>
    <n v="4"/>
    <n v="80"/>
    <n v="1"/>
    <n v="10"/>
    <n v="2"/>
    <n v="3"/>
    <n v="9"/>
    <n v="3"/>
    <n v="1"/>
    <n v="7"/>
  </r>
  <r>
    <n v="35"/>
    <x v="2"/>
    <x v="1"/>
    <s v="Travel_Frequently"/>
    <n v="482"/>
    <x v="1"/>
    <n v="4"/>
    <n v="4"/>
    <x v="0"/>
    <n v="1"/>
    <n v="1350"/>
    <n v="3"/>
    <x v="1"/>
    <n v="87"/>
    <n v="3"/>
    <n v="2"/>
    <x v="1"/>
    <n v="3"/>
    <x v="0"/>
    <n v="4249"/>
    <n v="2690"/>
    <n v="1"/>
    <s v="Y"/>
    <s v="Yes"/>
    <n v="11"/>
    <n v="3"/>
    <n v="2"/>
    <n v="80"/>
    <n v="0"/>
    <n v="9"/>
    <n v="3"/>
    <n v="3"/>
    <n v="9"/>
    <n v="6"/>
    <n v="1"/>
    <n v="1"/>
  </r>
  <r>
    <n v="51"/>
    <x v="1"/>
    <x v="1"/>
    <s v="Travel_Rarely"/>
    <n v="770"/>
    <x v="2"/>
    <n v="5"/>
    <n v="3"/>
    <x v="0"/>
    <n v="1"/>
    <n v="1352"/>
    <n v="3"/>
    <x v="1"/>
    <n v="84"/>
    <n v="3"/>
    <n v="4"/>
    <x v="5"/>
    <n v="2"/>
    <x v="2"/>
    <n v="14026"/>
    <n v="17588"/>
    <n v="1"/>
    <s v="Y"/>
    <s v="Yes"/>
    <n v="11"/>
    <n v="3"/>
    <n v="2"/>
    <n v="80"/>
    <n v="1"/>
    <n v="33"/>
    <n v="2"/>
    <n v="3"/>
    <n v="33"/>
    <n v="9"/>
    <n v="0"/>
    <n v="10"/>
  </r>
  <r>
    <n v="38"/>
    <x v="0"/>
    <x v="1"/>
    <s v="Travel_Rarely"/>
    <n v="1009"/>
    <x v="0"/>
    <n v="2"/>
    <n v="2"/>
    <x v="0"/>
    <n v="1"/>
    <n v="1355"/>
    <n v="2"/>
    <x v="0"/>
    <n v="31"/>
    <n v="3"/>
    <n v="2"/>
    <x v="0"/>
    <n v="1"/>
    <x v="2"/>
    <n v="6893"/>
    <n v="19461"/>
    <n v="3"/>
    <s v="Y"/>
    <s v="No"/>
    <n v="15"/>
    <n v="3"/>
    <n v="4"/>
    <n v="80"/>
    <n v="1"/>
    <n v="11"/>
    <n v="3"/>
    <n v="3"/>
    <n v="7"/>
    <n v="7"/>
    <n v="1"/>
    <n v="7"/>
  </r>
  <r>
    <n v="34"/>
    <x v="2"/>
    <x v="1"/>
    <s v="Travel_Rarely"/>
    <n v="507"/>
    <x v="0"/>
    <n v="15"/>
    <n v="2"/>
    <x v="2"/>
    <n v="1"/>
    <n v="1356"/>
    <n v="3"/>
    <x v="0"/>
    <n v="66"/>
    <n v="3"/>
    <n v="2"/>
    <x v="0"/>
    <n v="1"/>
    <x v="0"/>
    <n v="6125"/>
    <n v="23553"/>
    <n v="1"/>
    <s v="Y"/>
    <s v="No"/>
    <n v="12"/>
    <n v="3"/>
    <n v="4"/>
    <n v="80"/>
    <n v="0"/>
    <n v="10"/>
    <n v="6"/>
    <n v="4"/>
    <n v="10"/>
    <n v="8"/>
    <n v="9"/>
    <n v="6"/>
  </r>
  <r>
    <n v="25"/>
    <x v="3"/>
    <x v="1"/>
    <s v="Travel_Rarely"/>
    <n v="882"/>
    <x v="1"/>
    <n v="19"/>
    <n v="1"/>
    <x v="2"/>
    <n v="1"/>
    <n v="1358"/>
    <n v="4"/>
    <x v="1"/>
    <n v="67"/>
    <n v="3"/>
    <n v="1"/>
    <x v="2"/>
    <n v="4"/>
    <x v="1"/>
    <n v="3669"/>
    <n v="9075"/>
    <n v="3"/>
    <s v="Y"/>
    <s v="No"/>
    <n v="11"/>
    <n v="3"/>
    <n v="3"/>
    <n v="80"/>
    <n v="3"/>
    <n v="7"/>
    <n v="6"/>
    <n v="2"/>
    <n v="3"/>
    <n v="2"/>
    <n v="1"/>
    <n v="2"/>
  </r>
  <r>
    <n v="58"/>
    <x v="1"/>
    <x v="0"/>
    <s v="Travel_Rarely"/>
    <n v="601"/>
    <x v="1"/>
    <n v="7"/>
    <n v="4"/>
    <x v="2"/>
    <n v="1"/>
    <n v="1360"/>
    <n v="3"/>
    <x v="0"/>
    <n v="53"/>
    <n v="2"/>
    <n v="3"/>
    <x v="3"/>
    <n v="1"/>
    <x v="1"/>
    <n v="10008"/>
    <n v="12023"/>
    <n v="7"/>
    <s v="Y"/>
    <s v="Yes"/>
    <n v="14"/>
    <n v="3"/>
    <n v="4"/>
    <n v="80"/>
    <n v="0"/>
    <n v="31"/>
    <n v="0"/>
    <n v="2"/>
    <n v="10"/>
    <n v="9"/>
    <n v="5"/>
    <n v="9"/>
  </r>
  <r>
    <n v="40"/>
    <x v="0"/>
    <x v="1"/>
    <s v="Travel_Rarely"/>
    <n v="329"/>
    <x v="1"/>
    <n v="1"/>
    <n v="4"/>
    <x v="0"/>
    <n v="1"/>
    <n v="1361"/>
    <n v="2"/>
    <x v="1"/>
    <n v="88"/>
    <n v="3"/>
    <n v="1"/>
    <x v="2"/>
    <n v="2"/>
    <x v="1"/>
    <n v="2387"/>
    <n v="6762"/>
    <n v="3"/>
    <s v="Y"/>
    <s v="No"/>
    <n v="22"/>
    <n v="4"/>
    <n v="3"/>
    <n v="80"/>
    <n v="1"/>
    <n v="7"/>
    <n v="3"/>
    <n v="3"/>
    <n v="4"/>
    <n v="2"/>
    <n v="0"/>
    <n v="3"/>
  </r>
  <r>
    <n v="36"/>
    <x v="0"/>
    <x v="1"/>
    <s v="Travel_Frequently"/>
    <n v="607"/>
    <x v="0"/>
    <n v="7"/>
    <n v="3"/>
    <x v="3"/>
    <n v="1"/>
    <n v="1362"/>
    <n v="1"/>
    <x v="0"/>
    <n v="83"/>
    <n v="4"/>
    <n v="2"/>
    <x v="0"/>
    <n v="1"/>
    <x v="1"/>
    <n v="4639"/>
    <n v="2261"/>
    <n v="2"/>
    <s v="Y"/>
    <s v="No"/>
    <n v="16"/>
    <n v="3"/>
    <n v="4"/>
    <n v="80"/>
    <n v="1"/>
    <n v="17"/>
    <n v="2"/>
    <n v="2"/>
    <n v="15"/>
    <n v="7"/>
    <n v="6"/>
    <n v="13"/>
  </r>
  <r>
    <n v="48"/>
    <x v="1"/>
    <x v="1"/>
    <s v="Travel_Rarely"/>
    <n v="855"/>
    <x v="1"/>
    <n v="4"/>
    <n v="3"/>
    <x v="0"/>
    <n v="1"/>
    <n v="1363"/>
    <n v="4"/>
    <x v="1"/>
    <n v="54"/>
    <n v="3"/>
    <n v="3"/>
    <x v="3"/>
    <n v="4"/>
    <x v="0"/>
    <n v="7898"/>
    <n v="18706"/>
    <n v="1"/>
    <s v="Y"/>
    <s v="No"/>
    <n v="11"/>
    <n v="3"/>
    <n v="3"/>
    <n v="80"/>
    <n v="0"/>
    <n v="11"/>
    <n v="2"/>
    <n v="3"/>
    <n v="10"/>
    <n v="9"/>
    <n v="0"/>
    <n v="8"/>
  </r>
  <r>
    <n v="27"/>
    <x v="2"/>
    <x v="1"/>
    <s v="Travel_Rarely"/>
    <n v="1291"/>
    <x v="0"/>
    <n v="11"/>
    <n v="3"/>
    <x v="2"/>
    <n v="1"/>
    <n v="1364"/>
    <n v="3"/>
    <x v="0"/>
    <n v="98"/>
    <n v="4"/>
    <n v="1"/>
    <x v="6"/>
    <n v="4"/>
    <x v="1"/>
    <n v="2534"/>
    <n v="6527"/>
    <n v="8"/>
    <s v="Y"/>
    <s v="No"/>
    <n v="14"/>
    <n v="3"/>
    <n v="2"/>
    <n v="80"/>
    <n v="1"/>
    <n v="5"/>
    <n v="4"/>
    <n v="3"/>
    <n v="1"/>
    <n v="0"/>
    <n v="0"/>
    <n v="0"/>
  </r>
  <r>
    <n v="51"/>
    <x v="1"/>
    <x v="1"/>
    <s v="Travel_Rarely"/>
    <n v="1405"/>
    <x v="1"/>
    <n v="11"/>
    <n v="2"/>
    <x v="4"/>
    <n v="1"/>
    <n v="1367"/>
    <n v="4"/>
    <x v="0"/>
    <n v="82"/>
    <n v="2"/>
    <n v="4"/>
    <x v="3"/>
    <n v="2"/>
    <x v="0"/>
    <n v="13142"/>
    <n v="24439"/>
    <n v="3"/>
    <s v="Y"/>
    <s v="No"/>
    <n v="16"/>
    <n v="3"/>
    <n v="2"/>
    <n v="80"/>
    <n v="0"/>
    <n v="29"/>
    <n v="1"/>
    <n v="2"/>
    <n v="5"/>
    <n v="2"/>
    <n v="0"/>
    <n v="3"/>
  </r>
  <r>
    <n v="18"/>
    <x v="3"/>
    <x v="1"/>
    <s v="Non-Travel"/>
    <n v="1124"/>
    <x v="1"/>
    <n v="1"/>
    <n v="3"/>
    <x v="0"/>
    <n v="1"/>
    <n v="1368"/>
    <n v="4"/>
    <x v="0"/>
    <n v="97"/>
    <n v="3"/>
    <n v="1"/>
    <x v="2"/>
    <n v="4"/>
    <x v="0"/>
    <n v="1611"/>
    <n v="19305"/>
    <n v="1"/>
    <s v="Y"/>
    <s v="No"/>
    <n v="15"/>
    <n v="3"/>
    <n v="3"/>
    <n v="80"/>
    <n v="0"/>
    <n v="0"/>
    <n v="5"/>
    <n v="4"/>
    <n v="0"/>
    <n v="0"/>
    <n v="0"/>
    <n v="0"/>
  </r>
  <r>
    <n v="35"/>
    <x v="2"/>
    <x v="1"/>
    <s v="Travel_Rarely"/>
    <n v="817"/>
    <x v="1"/>
    <n v="1"/>
    <n v="3"/>
    <x v="2"/>
    <n v="1"/>
    <n v="1369"/>
    <n v="4"/>
    <x v="0"/>
    <n v="60"/>
    <n v="2"/>
    <n v="2"/>
    <x v="2"/>
    <n v="4"/>
    <x v="1"/>
    <n v="5363"/>
    <n v="10846"/>
    <n v="0"/>
    <s v="Y"/>
    <s v="No"/>
    <n v="12"/>
    <n v="3"/>
    <n v="2"/>
    <n v="80"/>
    <n v="1"/>
    <n v="10"/>
    <n v="0"/>
    <n v="3"/>
    <n v="9"/>
    <n v="7"/>
    <n v="0"/>
    <n v="0"/>
  </r>
  <r>
    <n v="27"/>
    <x v="2"/>
    <x v="1"/>
    <s v="Travel_Frequently"/>
    <n v="793"/>
    <x v="0"/>
    <n v="2"/>
    <n v="1"/>
    <x v="0"/>
    <n v="1"/>
    <n v="1371"/>
    <n v="4"/>
    <x v="1"/>
    <n v="43"/>
    <n v="1"/>
    <n v="2"/>
    <x v="0"/>
    <n v="4"/>
    <x v="0"/>
    <n v="5071"/>
    <n v="20392"/>
    <n v="3"/>
    <s v="Y"/>
    <s v="No"/>
    <n v="20"/>
    <n v="4"/>
    <n v="2"/>
    <n v="80"/>
    <n v="0"/>
    <n v="8"/>
    <n v="3"/>
    <n v="3"/>
    <n v="6"/>
    <n v="2"/>
    <n v="0"/>
    <n v="0"/>
  </r>
  <r>
    <n v="55"/>
    <x v="1"/>
    <x v="0"/>
    <s v="Travel_Rarely"/>
    <n v="267"/>
    <x v="0"/>
    <n v="13"/>
    <n v="4"/>
    <x v="3"/>
    <n v="1"/>
    <n v="1372"/>
    <n v="1"/>
    <x v="1"/>
    <n v="85"/>
    <n v="4"/>
    <n v="4"/>
    <x v="0"/>
    <n v="3"/>
    <x v="0"/>
    <n v="13695"/>
    <n v="9277"/>
    <n v="6"/>
    <s v="Y"/>
    <s v="Yes"/>
    <n v="17"/>
    <n v="3"/>
    <n v="3"/>
    <n v="80"/>
    <n v="0"/>
    <n v="24"/>
    <n v="2"/>
    <n v="2"/>
    <n v="19"/>
    <n v="7"/>
    <n v="3"/>
    <n v="8"/>
  </r>
  <r>
    <n v="56"/>
    <x v="1"/>
    <x v="1"/>
    <s v="Travel_Rarely"/>
    <n v="1369"/>
    <x v="1"/>
    <n v="23"/>
    <n v="3"/>
    <x v="0"/>
    <n v="1"/>
    <n v="1373"/>
    <n v="4"/>
    <x v="1"/>
    <n v="68"/>
    <n v="3"/>
    <n v="4"/>
    <x v="3"/>
    <n v="2"/>
    <x v="1"/>
    <n v="13402"/>
    <n v="18235"/>
    <n v="4"/>
    <s v="Y"/>
    <s v="Yes"/>
    <n v="12"/>
    <n v="3"/>
    <n v="1"/>
    <n v="80"/>
    <n v="1"/>
    <n v="33"/>
    <n v="0"/>
    <n v="3"/>
    <n v="19"/>
    <n v="16"/>
    <n v="15"/>
    <n v="9"/>
  </r>
  <r>
    <n v="34"/>
    <x v="2"/>
    <x v="1"/>
    <s v="Non-Travel"/>
    <n v="999"/>
    <x v="1"/>
    <n v="26"/>
    <n v="1"/>
    <x v="4"/>
    <n v="1"/>
    <n v="1374"/>
    <n v="1"/>
    <x v="0"/>
    <n v="92"/>
    <n v="2"/>
    <n v="1"/>
    <x v="1"/>
    <n v="3"/>
    <x v="2"/>
    <n v="2029"/>
    <n v="15891"/>
    <n v="1"/>
    <s v="Y"/>
    <s v="No"/>
    <n v="20"/>
    <n v="4"/>
    <n v="3"/>
    <n v="80"/>
    <n v="3"/>
    <n v="5"/>
    <n v="2"/>
    <n v="3"/>
    <n v="5"/>
    <n v="4"/>
    <n v="0"/>
    <n v="0"/>
  </r>
  <r>
    <n v="40"/>
    <x v="0"/>
    <x v="1"/>
    <s v="Travel_Rarely"/>
    <n v="1202"/>
    <x v="1"/>
    <n v="2"/>
    <n v="1"/>
    <x v="2"/>
    <n v="1"/>
    <n v="1375"/>
    <n v="2"/>
    <x v="0"/>
    <n v="89"/>
    <n v="4"/>
    <n v="2"/>
    <x v="4"/>
    <n v="3"/>
    <x v="2"/>
    <n v="6377"/>
    <n v="13888"/>
    <n v="5"/>
    <s v="Y"/>
    <s v="No"/>
    <n v="20"/>
    <n v="4"/>
    <n v="2"/>
    <n v="80"/>
    <n v="3"/>
    <n v="15"/>
    <n v="0"/>
    <n v="3"/>
    <n v="12"/>
    <n v="11"/>
    <n v="11"/>
    <n v="8"/>
  </r>
  <r>
    <n v="34"/>
    <x v="2"/>
    <x v="1"/>
    <s v="Travel_Rarely"/>
    <n v="285"/>
    <x v="1"/>
    <n v="29"/>
    <n v="3"/>
    <x v="2"/>
    <n v="1"/>
    <n v="1377"/>
    <n v="2"/>
    <x v="1"/>
    <n v="86"/>
    <n v="3"/>
    <n v="2"/>
    <x v="2"/>
    <n v="3"/>
    <x v="1"/>
    <n v="5429"/>
    <n v="17491"/>
    <n v="4"/>
    <s v="Y"/>
    <s v="No"/>
    <n v="13"/>
    <n v="3"/>
    <n v="1"/>
    <n v="80"/>
    <n v="2"/>
    <n v="10"/>
    <n v="1"/>
    <n v="3"/>
    <n v="8"/>
    <n v="7"/>
    <n v="7"/>
    <n v="7"/>
  </r>
  <r>
    <n v="31"/>
    <x v="2"/>
    <x v="0"/>
    <s v="Travel_Frequently"/>
    <n v="703"/>
    <x v="0"/>
    <n v="2"/>
    <n v="3"/>
    <x v="0"/>
    <n v="1"/>
    <n v="1379"/>
    <n v="3"/>
    <x v="0"/>
    <n v="90"/>
    <n v="2"/>
    <n v="1"/>
    <x v="6"/>
    <n v="4"/>
    <x v="0"/>
    <n v="2785"/>
    <n v="11882"/>
    <n v="7"/>
    <s v="Y"/>
    <s v="No"/>
    <n v="14"/>
    <n v="3"/>
    <n v="3"/>
    <n v="80"/>
    <n v="0"/>
    <n v="3"/>
    <n v="3"/>
    <n v="4"/>
    <n v="1"/>
    <n v="0"/>
    <n v="0"/>
    <n v="0"/>
  </r>
  <r>
    <n v="35"/>
    <x v="2"/>
    <x v="0"/>
    <s v="Travel_Frequently"/>
    <n v="662"/>
    <x v="0"/>
    <n v="18"/>
    <n v="4"/>
    <x v="3"/>
    <n v="1"/>
    <n v="1380"/>
    <n v="4"/>
    <x v="0"/>
    <n v="67"/>
    <n v="3"/>
    <n v="2"/>
    <x v="0"/>
    <n v="3"/>
    <x v="1"/>
    <n v="4614"/>
    <n v="23288"/>
    <n v="0"/>
    <s v="Y"/>
    <s v="Yes"/>
    <n v="18"/>
    <n v="3"/>
    <n v="3"/>
    <n v="80"/>
    <n v="1"/>
    <n v="5"/>
    <n v="0"/>
    <n v="2"/>
    <n v="4"/>
    <n v="2"/>
    <n v="3"/>
    <n v="2"/>
  </r>
  <r>
    <n v="38"/>
    <x v="0"/>
    <x v="1"/>
    <s v="Travel_Frequently"/>
    <n v="693"/>
    <x v="1"/>
    <n v="7"/>
    <n v="3"/>
    <x v="0"/>
    <n v="1"/>
    <n v="1382"/>
    <n v="4"/>
    <x v="1"/>
    <n v="57"/>
    <n v="4"/>
    <n v="1"/>
    <x v="1"/>
    <n v="3"/>
    <x v="2"/>
    <n v="2610"/>
    <n v="15748"/>
    <n v="1"/>
    <s v="Y"/>
    <s v="No"/>
    <n v="11"/>
    <n v="3"/>
    <n v="4"/>
    <n v="80"/>
    <n v="3"/>
    <n v="4"/>
    <n v="2"/>
    <n v="3"/>
    <n v="4"/>
    <n v="2"/>
    <n v="0"/>
    <n v="3"/>
  </r>
  <r>
    <n v="34"/>
    <x v="2"/>
    <x v="1"/>
    <s v="Travel_Rarely"/>
    <n v="404"/>
    <x v="1"/>
    <n v="2"/>
    <n v="4"/>
    <x v="4"/>
    <n v="1"/>
    <n v="1383"/>
    <n v="3"/>
    <x v="0"/>
    <n v="98"/>
    <n v="3"/>
    <n v="2"/>
    <x v="4"/>
    <n v="4"/>
    <x v="0"/>
    <n v="6687"/>
    <n v="6163"/>
    <n v="1"/>
    <s v="Y"/>
    <s v="No"/>
    <n v="11"/>
    <n v="3"/>
    <n v="4"/>
    <n v="80"/>
    <n v="0"/>
    <n v="14"/>
    <n v="2"/>
    <n v="4"/>
    <n v="14"/>
    <n v="11"/>
    <n v="4"/>
    <n v="11"/>
  </r>
  <r>
    <n v="28"/>
    <x v="2"/>
    <x v="1"/>
    <s v="Travel_Rarely"/>
    <n v="736"/>
    <x v="0"/>
    <n v="26"/>
    <n v="3"/>
    <x v="0"/>
    <n v="1"/>
    <n v="1387"/>
    <n v="3"/>
    <x v="1"/>
    <n v="48"/>
    <n v="2"/>
    <n v="2"/>
    <x v="0"/>
    <n v="1"/>
    <x v="1"/>
    <n v="4724"/>
    <n v="24232"/>
    <n v="1"/>
    <s v="Y"/>
    <s v="No"/>
    <n v="11"/>
    <n v="3"/>
    <n v="3"/>
    <n v="80"/>
    <n v="1"/>
    <n v="5"/>
    <n v="0"/>
    <n v="3"/>
    <n v="5"/>
    <n v="3"/>
    <n v="0"/>
    <n v="4"/>
  </r>
  <r>
    <n v="31"/>
    <x v="2"/>
    <x v="0"/>
    <s v="Travel_Rarely"/>
    <n v="330"/>
    <x v="1"/>
    <n v="22"/>
    <n v="4"/>
    <x v="2"/>
    <n v="1"/>
    <n v="1389"/>
    <n v="4"/>
    <x v="1"/>
    <n v="98"/>
    <n v="3"/>
    <n v="2"/>
    <x v="3"/>
    <n v="3"/>
    <x v="1"/>
    <n v="6179"/>
    <n v="21057"/>
    <n v="1"/>
    <s v="Y"/>
    <s v="Yes"/>
    <n v="15"/>
    <n v="3"/>
    <n v="4"/>
    <n v="80"/>
    <n v="2"/>
    <n v="10"/>
    <n v="3"/>
    <n v="2"/>
    <n v="10"/>
    <n v="2"/>
    <n v="6"/>
    <n v="7"/>
  </r>
  <r>
    <n v="39"/>
    <x v="0"/>
    <x v="1"/>
    <s v="Travel_Rarely"/>
    <n v="1498"/>
    <x v="0"/>
    <n v="21"/>
    <n v="4"/>
    <x v="0"/>
    <n v="1"/>
    <n v="1390"/>
    <n v="1"/>
    <x v="1"/>
    <n v="44"/>
    <n v="2"/>
    <n v="2"/>
    <x v="0"/>
    <n v="4"/>
    <x v="1"/>
    <n v="6120"/>
    <n v="3567"/>
    <n v="3"/>
    <s v="Y"/>
    <s v="Yes"/>
    <n v="12"/>
    <n v="3"/>
    <n v="4"/>
    <n v="80"/>
    <n v="2"/>
    <n v="8"/>
    <n v="2"/>
    <n v="4"/>
    <n v="5"/>
    <n v="4"/>
    <n v="1"/>
    <n v="4"/>
  </r>
  <r>
    <n v="51"/>
    <x v="1"/>
    <x v="1"/>
    <s v="Travel_Frequently"/>
    <n v="541"/>
    <x v="0"/>
    <n v="2"/>
    <n v="3"/>
    <x v="3"/>
    <n v="1"/>
    <n v="1391"/>
    <n v="2"/>
    <x v="1"/>
    <n v="52"/>
    <n v="3"/>
    <n v="3"/>
    <x v="0"/>
    <n v="2"/>
    <x v="1"/>
    <n v="10596"/>
    <n v="15395"/>
    <n v="2"/>
    <s v="Y"/>
    <s v="No"/>
    <n v="11"/>
    <n v="3"/>
    <n v="2"/>
    <n v="80"/>
    <n v="0"/>
    <n v="14"/>
    <n v="5"/>
    <n v="3"/>
    <n v="4"/>
    <n v="2"/>
    <n v="3"/>
    <n v="2"/>
  </r>
  <r>
    <n v="41"/>
    <x v="0"/>
    <x v="1"/>
    <s v="Travel_Frequently"/>
    <n v="1200"/>
    <x v="1"/>
    <n v="22"/>
    <n v="3"/>
    <x v="0"/>
    <n v="1"/>
    <n v="1392"/>
    <n v="4"/>
    <x v="0"/>
    <n v="75"/>
    <n v="3"/>
    <n v="2"/>
    <x v="1"/>
    <n v="4"/>
    <x v="2"/>
    <n v="5467"/>
    <n v="13953"/>
    <n v="3"/>
    <s v="Y"/>
    <s v="Yes"/>
    <n v="14"/>
    <n v="3"/>
    <n v="1"/>
    <n v="80"/>
    <n v="2"/>
    <n v="12"/>
    <n v="4"/>
    <n v="2"/>
    <n v="6"/>
    <n v="2"/>
    <n v="3"/>
    <n v="3"/>
  </r>
  <r>
    <n v="37"/>
    <x v="0"/>
    <x v="1"/>
    <s v="Travel_Rarely"/>
    <n v="1439"/>
    <x v="1"/>
    <n v="4"/>
    <n v="1"/>
    <x v="0"/>
    <n v="1"/>
    <n v="1394"/>
    <n v="3"/>
    <x v="1"/>
    <n v="54"/>
    <n v="3"/>
    <n v="1"/>
    <x v="1"/>
    <n v="3"/>
    <x v="1"/>
    <n v="2996"/>
    <n v="5182"/>
    <n v="7"/>
    <s v="Y"/>
    <s v="Yes"/>
    <n v="15"/>
    <n v="3"/>
    <n v="4"/>
    <n v="80"/>
    <n v="0"/>
    <n v="8"/>
    <n v="2"/>
    <n v="3"/>
    <n v="6"/>
    <n v="4"/>
    <n v="1"/>
    <n v="3"/>
  </r>
  <r>
    <n v="33"/>
    <x v="2"/>
    <x v="1"/>
    <s v="Travel_Frequently"/>
    <n v="1111"/>
    <x v="0"/>
    <n v="5"/>
    <n v="1"/>
    <x v="0"/>
    <n v="1"/>
    <n v="1395"/>
    <n v="2"/>
    <x v="1"/>
    <n v="61"/>
    <n v="3"/>
    <n v="2"/>
    <x v="0"/>
    <n v="4"/>
    <x v="1"/>
    <n v="9998"/>
    <n v="19293"/>
    <n v="6"/>
    <s v="Y"/>
    <s v="No"/>
    <n v="13"/>
    <n v="3"/>
    <n v="1"/>
    <n v="80"/>
    <n v="0"/>
    <n v="8"/>
    <n v="2"/>
    <n v="4"/>
    <n v="5"/>
    <n v="4"/>
    <n v="1"/>
    <n v="2"/>
  </r>
  <r>
    <n v="32"/>
    <x v="2"/>
    <x v="1"/>
    <s v="Travel_Rarely"/>
    <n v="499"/>
    <x v="0"/>
    <n v="2"/>
    <n v="1"/>
    <x v="3"/>
    <n v="1"/>
    <n v="1396"/>
    <n v="3"/>
    <x v="1"/>
    <n v="36"/>
    <n v="3"/>
    <n v="2"/>
    <x v="0"/>
    <n v="2"/>
    <x v="1"/>
    <n v="4078"/>
    <n v="20497"/>
    <n v="0"/>
    <s v="Y"/>
    <s v="Yes"/>
    <n v="13"/>
    <n v="3"/>
    <n v="1"/>
    <n v="80"/>
    <n v="3"/>
    <n v="4"/>
    <n v="3"/>
    <n v="2"/>
    <n v="3"/>
    <n v="2"/>
    <n v="1"/>
    <n v="2"/>
  </r>
  <r>
    <n v="39"/>
    <x v="0"/>
    <x v="1"/>
    <s v="Non-Travel"/>
    <n v="1485"/>
    <x v="1"/>
    <n v="25"/>
    <n v="2"/>
    <x v="0"/>
    <n v="1"/>
    <n v="1397"/>
    <n v="3"/>
    <x v="1"/>
    <n v="71"/>
    <n v="3"/>
    <n v="3"/>
    <x v="4"/>
    <n v="3"/>
    <x v="1"/>
    <n v="10920"/>
    <n v="3449"/>
    <n v="3"/>
    <s v="Y"/>
    <s v="No"/>
    <n v="21"/>
    <n v="4"/>
    <n v="2"/>
    <n v="80"/>
    <n v="1"/>
    <n v="13"/>
    <n v="2"/>
    <n v="3"/>
    <n v="6"/>
    <n v="4"/>
    <n v="0"/>
    <n v="5"/>
  </r>
  <r>
    <n v="25"/>
    <x v="3"/>
    <x v="1"/>
    <s v="Travel_Rarely"/>
    <n v="1372"/>
    <x v="0"/>
    <n v="18"/>
    <n v="1"/>
    <x v="0"/>
    <n v="1"/>
    <n v="1399"/>
    <n v="1"/>
    <x v="1"/>
    <n v="93"/>
    <n v="4"/>
    <n v="2"/>
    <x v="0"/>
    <n v="3"/>
    <x v="1"/>
    <n v="6232"/>
    <n v="12477"/>
    <n v="2"/>
    <s v="Y"/>
    <s v="No"/>
    <n v="11"/>
    <n v="3"/>
    <n v="2"/>
    <n v="80"/>
    <n v="0"/>
    <n v="6"/>
    <n v="3"/>
    <n v="2"/>
    <n v="3"/>
    <n v="2"/>
    <n v="1"/>
    <n v="2"/>
  </r>
  <r>
    <n v="52"/>
    <x v="1"/>
    <x v="1"/>
    <s v="Travel_Frequently"/>
    <n v="322"/>
    <x v="1"/>
    <n v="28"/>
    <n v="2"/>
    <x v="2"/>
    <n v="1"/>
    <n v="1401"/>
    <n v="4"/>
    <x v="0"/>
    <n v="59"/>
    <n v="4"/>
    <n v="4"/>
    <x v="3"/>
    <n v="3"/>
    <x v="1"/>
    <n v="13247"/>
    <n v="9731"/>
    <n v="2"/>
    <s v="Y"/>
    <s v="Yes"/>
    <n v="11"/>
    <n v="3"/>
    <n v="2"/>
    <n v="80"/>
    <n v="1"/>
    <n v="24"/>
    <n v="3"/>
    <n v="2"/>
    <n v="5"/>
    <n v="3"/>
    <n v="0"/>
    <n v="2"/>
  </r>
  <r>
    <n v="43"/>
    <x v="0"/>
    <x v="1"/>
    <s v="Travel_Rarely"/>
    <n v="930"/>
    <x v="1"/>
    <n v="6"/>
    <n v="3"/>
    <x v="2"/>
    <n v="1"/>
    <n v="1402"/>
    <n v="1"/>
    <x v="0"/>
    <n v="73"/>
    <n v="2"/>
    <n v="2"/>
    <x v="1"/>
    <n v="3"/>
    <x v="0"/>
    <n v="4081"/>
    <n v="20003"/>
    <n v="1"/>
    <s v="Y"/>
    <s v="Yes"/>
    <n v="14"/>
    <n v="3"/>
    <n v="1"/>
    <n v="80"/>
    <n v="0"/>
    <n v="20"/>
    <n v="3"/>
    <n v="1"/>
    <n v="20"/>
    <n v="7"/>
    <n v="1"/>
    <n v="8"/>
  </r>
  <r>
    <n v="27"/>
    <x v="2"/>
    <x v="1"/>
    <s v="Travel_Rarely"/>
    <n v="205"/>
    <x v="0"/>
    <n v="10"/>
    <n v="3"/>
    <x v="3"/>
    <n v="1"/>
    <n v="1403"/>
    <n v="4"/>
    <x v="0"/>
    <n v="98"/>
    <n v="2"/>
    <n v="2"/>
    <x v="0"/>
    <n v="4"/>
    <x v="1"/>
    <n v="5769"/>
    <n v="7100"/>
    <n v="1"/>
    <s v="Y"/>
    <s v="Yes"/>
    <n v="11"/>
    <n v="3"/>
    <n v="4"/>
    <n v="80"/>
    <n v="0"/>
    <n v="6"/>
    <n v="3"/>
    <n v="3"/>
    <n v="6"/>
    <n v="2"/>
    <n v="4"/>
    <n v="4"/>
  </r>
  <r>
    <n v="27"/>
    <x v="2"/>
    <x v="0"/>
    <s v="Travel_Rarely"/>
    <n v="135"/>
    <x v="1"/>
    <n v="17"/>
    <n v="4"/>
    <x v="0"/>
    <n v="1"/>
    <n v="1405"/>
    <n v="4"/>
    <x v="0"/>
    <n v="51"/>
    <n v="3"/>
    <n v="1"/>
    <x v="1"/>
    <n v="3"/>
    <x v="0"/>
    <n v="2394"/>
    <n v="25681"/>
    <n v="1"/>
    <s v="Y"/>
    <s v="Yes"/>
    <n v="13"/>
    <n v="3"/>
    <n v="4"/>
    <n v="80"/>
    <n v="0"/>
    <n v="8"/>
    <n v="2"/>
    <n v="3"/>
    <n v="8"/>
    <n v="2"/>
    <n v="7"/>
    <n v="7"/>
  </r>
  <r>
    <n v="26"/>
    <x v="2"/>
    <x v="1"/>
    <s v="Travel_Rarely"/>
    <n v="683"/>
    <x v="1"/>
    <n v="2"/>
    <n v="1"/>
    <x v="2"/>
    <n v="1"/>
    <n v="1407"/>
    <n v="1"/>
    <x v="1"/>
    <n v="36"/>
    <n v="2"/>
    <n v="1"/>
    <x v="1"/>
    <n v="4"/>
    <x v="0"/>
    <n v="3904"/>
    <n v="4050"/>
    <n v="0"/>
    <s v="Y"/>
    <s v="No"/>
    <n v="12"/>
    <n v="3"/>
    <n v="4"/>
    <n v="80"/>
    <n v="0"/>
    <n v="5"/>
    <n v="2"/>
    <n v="3"/>
    <n v="4"/>
    <n v="3"/>
    <n v="1"/>
    <n v="1"/>
  </r>
  <r>
    <n v="42"/>
    <x v="0"/>
    <x v="1"/>
    <s v="Travel_Rarely"/>
    <n v="1147"/>
    <x v="2"/>
    <n v="10"/>
    <n v="3"/>
    <x v="5"/>
    <n v="1"/>
    <n v="1408"/>
    <n v="3"/>
    <x v="0"/>
    <n v="31"/>
    <n v="3"/>
    <n v="4"/>
    <x v="5"/>
    <n v="1"/>
    <x v="1"/>
    <n v="16799"/>
    <n v="16616"/>
    <n v="0"/>
    <s v="Y"/>
    <s v="No"/>
    <n v="14"/>
    <n v="3"/>
    <n v="3"/>
    <n v="80"/>
    <n v="1"/>
    <n v="21"/>
    <n v="5"/>
    <n v="3"/>
    <n v="20"/>
    <n v="7"/>
    <n v="0"/>
    <n v="9"/>
  </r>
  <r>
    <n v="52"/>
    <x v="1"/>
    <x v="1"/>
    <s v="Travel_Rarely"/>
    <n v="258"/>
    <x v="1"/>
    <n v="8"/>
    <n v="4"/>
    <x v="1"/>
    <n v="1"/>
    <n v="1409"/>
    <n v="3"/>
    <x v="0"/>
    <n v="54"/>
    <n v="3"/>
    <n v="1"/>
    <x v="2"/>
    <n v="1"/>
    <x v="1"/>
    <n v="2950"/>
    <n v="17363"/>
    <n v="9"/>
    <s v="Y"/>
    <s v="No"/>
    <n v="13"/>
    <n v="3"/>
    <n v="3"/>
    <n v="80"/>
    <n v="0"/>
    <n v="12"/>
    <n v="2"/>
    <n v="1"/>
    <n v="5"/>
    <n v="4"/>
    <n v="0"/>
    <n v="4"/>
  </r>
  <r>
    <n v="37"/>
    <x v="0"/>
    <x v="1"/>
    <s v="Travel_Rarely"/>
    <n v="1462"/>
    <x v="1"/>
    <n v="11"/>
    <n v="3"/>
    <x v="2"/>
    <n v="1"/>
    <n v="1411"/>
    <n v="1"/>
    <x v="0"/>
    <n v="94"/>
    <n v="3"/>
    <n v="1"/>
    <x v="2"/>
    <n v="3"/>
    <x v="0"/>
    <n v="3629"/>
    <n v="19106"/>
    <n v="4"/>
    <s v="Y"/>
    <s v="No"/>
    <n v="18"/>
    <n v="3"/>
    <n v="1"/>
    <n v="80"/>
    <n v="0"/>
    <n v="8"/>
    <n v="6"/>
    <n v="3"/>
    <n v="3"/>
    <n v="2"/>
    <n v="0"/>
    <n v="2"/>
  </r>
  <r>
    <n v="35"/>
    <x v="2"/>
    <x v="1"/>
    <s v="Travel_Frequently"/>
    <n v="200"/>
    <x v="1"/>
    <n v="18"/>
    <n v="2"/>
    <x v="0"/>
    <n v="1"/>
    <n v="1412"/>
    <n v="3"/>
    <x v="1"/>
    <n v="60"/>
    <n v="3"/>
    <n v="3"/>
    <x v="3"/>
    <n v="4"/>
    <x v="0"/>
    <n v="9362"/>
    <n v="19944"/>
    <n v="2"/>
    <s v="Y"/>
    <s v="No"/>
    <n v="11"/>
    <n v="3"/>
    <n v="3"/>
    <n v="80"/>
    <n v="0"/>
    <n v="10"/>
    <n v="2"/>
    <n v="3"/>
    <n v="2"/>
    <n v="2"/>
    <n v="2"/>
    <n v="2"/>
  </r>
  <r>
    <n v="25"/>
    <x v="3"/>
    <x v="1"/>
    <s v="Travel_Rarely"/>
    <n v="949"/>
    <x v="1"/>
    <n v="1"/>
    <n v="3"/>
    <x v="4"/>
    <n v="1"/>
    <n v="1415"/>
    <n v="1"/>
    <x v="1"/>
    <n v="81"/>
    <n v="3"/>
    <n v="1"/>
    <x v="2"/>
    <n v="4"/>
    <x v="1"/>
    <n v="3229"/>
    <n v="4910"/>
    <n v="4"/>
    <s v="Y"/>
    <s v="No"/>
    <n v="11"/>
    <n v="3"/>
    <n v="2"/>
    <n v="80"/>
    <n v="1"/>
    <n v="7"/>
    <n v="2"/>
    <n v="2"/>
    <n v="3"/>
    <n v="2"/>
    <n v="0"/>
    <n v="2"/>
  </r>
  <r>
    <n v="26"/>
    <x v="2"/>
    <x v="1"/>
    <s v="Travel_Rarely"/>
    <n v="652"/>
    <x v="1"/>
    <n v="7"/>
    <n v="3"/>
    <x v="1"/>
    <n v="1"/>
    <n v="1417"/>
    <n v="3"/>
    <x v="1"/>
    <n v="100"/>
    <n v="4"/>
    <n v="1"/>
    <x v="2"/>
    <n v="1"/>
    <x v="0"/>
    <n v="3578"/>
    <n v="23577"/>
    <n v="0"/>
    <s v="Y"/>
    <s v="No"/>
    <n v="12"/>
    <n v="3"/>
    <n v="4"/>
    <n v="80"/>
    <n v="0"/>
    <n v="8"/>
    <n v="2"/>
    <n v="3"/>
    <n v="7"/>
    <n v="7"/>
    <n v="0"/>
    <n v="7"/>
  </r>
  <r>
    <n v="29"/>
    <x v="2"/>
    <x v="1"/>
    <s v="Travel_Rarely"/>
    <n v="332"/>
    <x v="2"/>
    <n v="17"/>
    <n v="3"/>
    <x v="1"/>
    <n v="1"/>
    <n v="1419"/>
    <n v="2"/>
    <x v="1"/>
    <n v="51"/>
    <n v="2"/>
    <n v="3"/>
    <x v="8"/>
    <n v="1"/>
    <x v="0"/>
    <n v="7988"/>
    <n v="9769"/>
    <n v="1"/>
    <s v="Y"/>
    <s v="No"/>
    <n v="13"/>
    <n v="3"/>
    <n v="1"/>
    <n v="80"/>
    <n v="0"/>
    <n v="10"/>
    <n v="3"/>
    <n v="2"/>
    <n v="10"/>
    <n v="9"/>
    <n v="0"/>
    <n v="9"/>
  </r>
  <r>
    <n v="49"/>
    <x v="1"/>
    <x v="0"/>
    <s v="Travel_Frequently"/>
    <n v="1475"/>
    <x v="1"/>
    <n v="28"/>
    <n v="2"/>
    <x v="0"/>
    <n v="1"/>
    <n v="1420"/>
    <n v="1"/>
    <x v="1"/>
    <n v="97"/>
    <n v="2"/>
    <n v="2"/>
    <x v="2"/>
    <n v="1"/>
    <x v="0"/>
    <n v="4284"/>
    <n v="22710"/>
    <n v="3"/>
    <s v="Y"/>
    <s v="No"/>
    <n v="20"/>
    <n v="4"/>
    <n v="1"/>
    <n v="80"/>
    <n v="0"/>
    <n v="20"/>
    <n v="2"/>
    <n v="3"/>
    <n v="4"/>
    <n v="3"/>
    <n v="1"/>
    <n v="3"/>
  </r>
  <r>
    <n v="29"/>
    <x v="2"/>
    <x v="0"/>
    <s v="Travel_Frequently"/>
    <n v="337"/>
    <x v="1"/>
    <n v="14"/>
    <n v="1"/>
    <x v="1"/>
    <n v="1"/>
    <n v="1421"/>
    <n v="3"/>
    <x v="0"/>
    <n v="84"/>
    <n v="3"/>
    <n v="3"/>
    <x v="4"/>
    <n v="4"/>
    <x v="0"/>
    <n v="7553"/>
    <n v="22930"/>
    <n v="0"/>
    <s v="Y"/>
    <s v="Yes"/>
    <n v="12"/>
    <n v="3"/>
    <n v="1"/>
    <n v="80"/>
    <n v="0"/>
    <n v="9"/>
    <n v="1"/>
    <n v="3"/>
    <n v="8"/>
    <n v="7"/>
    <n v="7"/>
    <n v="7"/>
  </r>
  <r>
    <n v="54"/>
    <x v="1"/>
    <x v="1"/>
    <s v="Travel_Rarely"/>
    <n v="971"/>
    <x v="1"/>
    <n v="1"/>
    <n v="3"/>
    <x v="2"/>
    <n v="1"/>
    <n v="1422"/>
    <n v="4"/>
    <x v="0"/>
    <n v="54"/>
    <n v="3"/>
    <n v="4"/>
    <x v="7"/>
    <n v="4"/>
    <x v="0"/>
    <n v="17328"/>
    <n v="5652"/>
    <n v="6"/>
    <s v="Y"/>
    <s v="No"/>
    <n v="19"/>
    <n v="3"/>
    <n v="4"/>
    <n v="80"/>
    <n v="0"/>
    <n v="29"/>
    <n v="3"/>
    <n v="2"/>
    <n v="20"/>
    <n v="7"/>
    <n v="12"/>
    <n v="7"/>
  </r>
  <r>
    <n v="58"/>
    <x v="1"/>
    <x v="1"/>
    <s v="Travel_Rarely"/>
    <n v="1055"/>
    <x v="1"/>
    <n v="1"/>
    <n v="3"/>
    <x v="2"/>
    <n v="1"/>
    <n v="1423"/>
    <n v="4"/>
    <x v="0"/>
    <n v="76"/>
    <n v="3"/>
    <n v="5"/>
    <x v="7"/>
    <n v="1"/>
    <x v="1"/>
    <n v="19701"/>
    <n v="22456"/>
    <n v="3"/>
    <s v="Y"/>
    <s v="Yes"/>
    <n v="21"/>
    <n v="4"/>
    <n v="3"/>
    <n v="80"/>
    <n v="1"/>
    <n v="32"/>
    <n v="3"/>
    <n v="3"/>
    <n v="9"/>
    <n v="8"/>
    <n v="1"/>
    <n v="5"/>
  </r>
  <r>
    <n v="55"/>
    <x v="1"/>
    <x v="1"/>
    <s v="Travel_Rarely"/>
    <n v="1136"/>
    <x v="1"/>
    <n v="1"/>
    <n v="4"/>
    <x v="2"/>
    <n v="1"/>
    <n v="1424"/>
    <n v="2"/>
    <x v="1"/>
    <n v="81"/>
    <n v="4"/>
    <n v="4"/>
    <x v="7"/>
    <n v="4"/>
    <x v="2"/>
    <n v="14732"/>
    <n v="12414"/>
    <n v="2"/>
    <s v="Y"/>
    <s v="No"/>
    <n v="13"/>
    <n v="3"/>
    <n v="4"/>
    <n v="80"/>
    <n v="2"/>
    <n v="31"/>
    <n v="4"/>
    <n v="4"/>
    <n v="7"/>
    <n v="7"/>
    <n v="0"/>
    <n v="0"/>
  </r>
  <r>
    <n v="36"/>
    <x v="0"/>
    <x v="1"/>
    <s v="Travel_Rarely"/>
    <n v="1174"/>
    <x v="0"/>
    <n v="3"/>
    <n v="4"/>
    <x v="3"/>
    <n v="1"/>
    <n v="1425"/>
    <n v="1"/>
    <x v="0"/>
    <n v="99"/>
    <n v="3"/>
    <n v="2"/>
    <x v="0"/>
    <n v="2"/>
    <x v="0"/>
    <n v="9278"/>
    <n v="20763"/>
    <n v="3"/>
    <s v="Y"/>
    <s v="Yes"/>
    <n v="16"/>
    <n v="3"/>
    <n v="4"/>
    <n v="80"/>
    <n v="0"/>
    <n v="15"/>
    <n v="3"/>
    <n v="3"/>
    <n v="5"/>
    <n v="4"/>
    <n v="0"/>
    <n v="1"/>
  </r>
  <r>
    <n v="31"/>
    <x v="2"/>
    <x v="0"/>
    <s v="Travel_Frequently"/>
    <n v="667"/>
    <x v="0"/>
    <n v="1"/>
    <n v="4"/>
    <x v="0"/>
    <n v="1"/>
    <n v="1427"/>
    <n v="2"/>
    <x v="0"/>
    <n v="50"/>
    <n v="1"/>
    <n v="1"/>
    <x v="6"/>
    <n v="3"/>
    <x v="0"/>
    <n v="1359"/>
    <n v="16154"/>
    <n v="1"/>
    <s v="Y"/>
    <s v="No"/>
    <n v="12"/>
    <n v="3"/>
    <n v="2"/>
    <n v="80"/>
    <n v="0"/>
    <n v="1"/>
    <n v="3"/>
    <n v="3"/>
    <n v="1"/>
    <n v="0"/>
    <n v="0"/>
    <n v="0"/>
  </r>
  <r>
    <n v="30"/>
    <x v="2"/>
    <x v="1"/>
    <s v="Travel_Rarely"/>
    <n v="855"/>
    <x v="0"/>
    <n v="7"/>
    <n v="4"/>
    <x v="3"/>
    <n v="1"/>
    <n v="1428"/>
    <n v="4"/>
    <x v="0"/>
    <n v="73"/>
    <n v="3"/>
    <n v="2"/>
    <x v="0"/>
    <n v="1"/>
    <x v="2"/>
    <n v="4779"/>
    <n v="12761"/>
    <n v="7"/>
    <s v="Y"/>
    <s v="No"/>
    <n v="14"/>
    <n v="3"/>
    <n v="2"/>
    <n v="80"/>
    <n v="2"/>
    <n v="8"/>
    <n v="3"/>
    <n v="3"/>
    <n v="3"/>
    <n v="2"/>
    <n v="0"/>
    <n v="2"/>
  </r>
  <r>
    <n v="31"/>
    <x v="2"/>
    <x v="1"/>
    <s v="Travel_Rarely"/>
    <n v="182"/>
    <x v="1"/>
    <n v="8"/>
    <n v="5"/>
    <x v="0"/>
    <n v="1"/>
    <n v="1430"/>
    <n v="1"/>
    <x v="0"/>
    <n v="93"/>
    <n v="3"/>
    <n v="4"/>
    <x v="7"/>
    <n v="2"/>
    <x v="0"/>
    <n v="16422"/>
    <n v="8847"/>
    <n v="3"/>
    <s v="Y"/>
    <s v="No"/>
    <n v="11"/>
    <n v="3"/>
    <n v="3"/>
    <n v="80"/>
    <n v="0"/>
    <n v="9"/>
    <n v="3"/>
    <n v="4"/>
    <n v="3"/>
    <n v="2"/>
    <n v="1"/>
    <n v="0"/>
  </r>
  <r>
    <n v="34"/>
    <x v="2"/>
    <x v="1"/>
    <s v="Travel_Frequently"/>
    <n v="560"/>
    <x v="1"/>
    <n v="1"/>
    <n v="4"/>
    <x v="1"/>
    <n v="1"/>
    <n v="1431"/>
    <n v="4"/>
    <x v="1"/>
    <n v="91"/>
    <n v="3"/>
    <n v="1"/>
    <x v="1"/>
    <n v="1"/>
    <x v="2"/>
    <n v="2996"/>
    <n v="20284"/>
    <n v="5"/>
    <s v="Y"/>
    <s v="No"/>
    <n v="14"/>
    <n v="3"/>
    <n v="3"/>
    <n v="80"/>
    <n v="2"/>
    <n v="10"/>
    <n v="2"/>
    <n v="3"/>
    <n v="4"/>
    <n v="3"/>
    <n v="1"/>
    <n v="3"/>
  </r>
  <r>
    <n v="31"/>
    <x v="2"/>
    <x v="0"/>
    <s v="Travel_Rarely"/>
    <n v="202"/>
    <x v="1"/>
    <n v="8"/>
    <n v="3"/>
    <x v="0"/>
    <n v="1"/>
    <n v="1433"/>
    <n v="1"/>
    <x v="0"/>
    <n v="34"/>
    <n v="2"/>
    <n v="1"/>
    <x v="1"/>
    <n v="2"/>
    <x v="0"/>
    <n v="1261"/>
    <n v="22262"/>
    <n v="1"/>
    <s v="Y"/>
    <s v="No"/>
    <n v="12"/>
    <n v="3"/>
    <n v="3"/>
    <n v="80"/>
    <n v="0"/>
    <n v="1"/>
    <n v="3"/>
    <n v="4"/>
    <n v="1"/>
    <n v="0"/>
    <n v="0"/>
    <n v="0"/>
  </r>
  <r>
    <n v="27"/>
    <x v="2"/>
    <x v="1"/>
    <s v="Travel_Rarely"/>
    <n v="1377"/>
    <x v="1"/>
    <n v="11"/>
    <n v="1"/>
    <x v="0"/>
    <n v="1"/>
    <n v="1434"/>
    <n v="2"/>
    <x v="1"/>
    <n v="91"/>
    <n v="3"/>
    <n v="1"/>
    <x v="2"/>
    <n v="1"/>
    <x v="1"/>
    <n v="2099"/>
    <n v="7679"/>
    <n v="0"/>
    <s v="Y"/>
    <s v="No"/>
    <n v="14"/>
    <n v="3"/>
    <n v="2"/>
    <n v="80"/>
    <n v="0"/>
    <n v="6"/>
    <n v="3"/>
    <n v="4"/>
    <n v="5"/>
    <n v="0"/>
    <n v="1"/>
    <n v="4"/>
  </r>
  <r>
    <n v="36"/>
    <x v="0"/>
    <x v="1"/>
    <s v="Travel_Rarely"/>
    <n v="172"/>
    <x v="1"/>
    <n v="4"/>
    <n v="4"/>
    <x v="0"/>
    <n v="1"/>
    <n v="1435"/>
    <n v="1"/>
    <x v="1"/>
    <n v="37"/>
    <n v="2"/>
    <n v="2"/>
    <x v="2"/>
    <n v="4"/>
    <x v="0"/>
    <n v="5810"/>
    <n v="22604"/>
    <n v="1"/>
    <s v="Y"/>
    <s v="No"/>
    <n v="16"/>
    <n v="3"/>
    <n v="3"/>
    <n v="80"/>
    <n v="0"/>
    <n v="10"/>
    <n v="2"/>
    <n v="2"/>
    <n v="10"/>
    <n v="4"/>
    <n v="1"/>
    <n v="8"/>
  </r>
  <r>
    <n v="36"/>
    <x v="0"/>
    <x v="1"/>
    <s v="Travel_Rarely"/>
    <n v="329"/>
    <x v="0"/>
    <n v="16"/>
    <n v="4"/>
    <x v="3"/>
    <n v="1"/>
    <n v="1436"/>
    <n v="3"/>
    <x v="0"/>
    <n v="98"/>
    <n v="2"/>
    <n v="2"/>
    <x v="0"/>
    <n v="1"/>
    <x v="1"/>
    <n v="5647"/>
    <n v="13494"/>
    <n v="4"/>
    <s v="Y"/>
    <s v="No"/>
    <n v="13"/>
    <n v="3"/>
    <n v="1"/>
    <n v="80"/>
    <n v="2"/>
    <n v="11"/>
    <n v="3"/>
    <n v="2"/>
    <n v="3"/>
    <n v="2"/>
    <n v="0"/>
    <n v="2"/>
  </r>
  <r>
    <n v="47"/>
    <x v="1"/>
    <x v="1"/>
    <s v="Travel_Rarely"/>
    <n v="465"/>
    <x v="1"/>
    <n v="1"/>
    <n v="3"/>
    <x v="4"/>
    <n v="1"/>
    <n v="1438"/>
    <n v="1"/>
    <x v="1"/>
    <n v="74"/>
    <n v="3"/>
    <n v="1"/>
    <x v="1"/>
    <n v="4"/>
    <x v="1"/>
    <n v="3420"/>
    <n v="10205"/>
    <n v="7"/>
    <s v="Y"/>
    <s v="No"/>
    <n v="12"/>
    <n v="3"/>
    <n v="3"/>
    <n v="80"/>
    <n v="1"/>
    <n v="17"/>
    <n v="2"/>
    <n v="2"/>
    <n v="6"/>
    <n v="5"/>
    <n v="1"/>
    <n v="2"/>
  </r>
  <r>
    <n v="25"/>
    <x v="3"/>
    <x v="0"/>
    <s v="Travel_Rarely"/>
    <n v="383"/>
    <x v="0"/>
    <n v="9"/>
    <n v="2"/>
    <x v="0"/>
    <n v="1"/>
    <n v="1439"/>
    <n v="1"/>
    <x v="1"/>
    <n v="68"/>
    <n v="2"/>
    <n v="1"/>
    <x v="6"/>
    <n v="1"/>
    <x v="1"/>
    <n v="4400"/>
    <n v="15182"/>
    <n v="3"/>
    <s v="Y"/>
    <s v="No"/>
    <n v="12"/>
    <n v="3"/>
    <n v="1"/>
    <n v="80"/>
    <n v="0"/>
    <n v="6"/>
    <n v="2"/>
    <n v="3"/>
    <n v="3"/>
    <n v="2"/>
    <n v="2"/>
    <n v="2"/>
  </r>
  <r>
    <n v="37"/>
    <x v="0"/>
    <x v="1"/>
    <s v="Non-Travel"/>
    <n v="1413"/>
    <x v="1"/>
    <n v="5"/>
    <n v="2"/>
    <x v="4"/>
    <n v="1"/>
    <n v="1440"/>
    <n v="3"/>
    <x v="1"/>
    <n v="84"/>
    <n v="4"/>
    <n v="1"/>
    <x v="2"/>
    <n v="3"/>
    <x v="0"/>
    <n v="3500"/>
    <n v="25470"/>
    <n v="0"/>
    <s v="Y"/>
    <s v="No"/>
    <n v="14"/>
    <n v="3"/>
    <n v="1"/>
    <n v="80"/>
    <n v="0"/>
    <n v="7"/>
    <n v="2"/>
    <n v="1"/>
    <n v="6"/>
    <n v="5"/>
    <n v="1"/>
    <n v="3"/>
  </r>
  <r>
    <n v="56"/>
    <x v="1"/>
    <x v="1"/>
    <s v="Travel_Rarely"/>
    <n v="1255"/>
    <x v="1"/>
    <n v="1"/>
    <n v="2"/>
    <x v="0"/>
    <n v="1"/>
    <n v="1441"/>
    <n v="1"/>
    <x v="0"/>
    <n v="90"/>
    <n v="3"/>
    <n v="1"/>
    <x v="1"/>
    <n v="1"/>
    <x v="1"/>
    <n v="2066"/>
    <n v="10494"/>
    <n v="2"/>
    <s v="Y"/>
    <s v="No"/>
    <n v="22"/>
    <n v="4"/>
    <n v="4"/>
    <n v="80"/>
    <n v="1"/>
    <n v="5"/>
    <n v="3"/>
    <n v="4"/>
    <n v="3"/>
    <n v="2"/>
    <n v="1"/>
    <n v="0"/>
  </r>
  <r>
    <n v="47"/>
    <x v="1"/>
    <x v="1"/>
    <s v="Travel_Rarely"/>
    <n v="359"/>
    <x v="1"/>
    <n v="2"/>
    <n v="4"/>
    <x v="2"/>
    <n v="1"/>
    <n v="1443"/>
    <n v="1"/>
    <x v="0"/>
    <n v="82"/>
    <n v="3"/>
    <n v="4"/>
    <x v="7"/>
    <n v="3"/>
    <x v="1"/>
    <n v="17169"/>
    <n v="26703"/>
    <n v="3"/>
    <s v="Y"/>
    <s v="No"/>
    <n v="19"/>
    <n v="3"/>
    <n v="2"/>
    <n v="80"/>
    <n v="2"/>
    <n v="26"/>
    <n v="2"/>
    <n v="4"/>
    <n v="20"/>
    <n v="17"/>
    <n v="5"/>
    <n v="6"/>
  </r>
  <r>
    <n v="24"/>
    <x v="3"/>
    <x v="1"/>
    <s v="Travel_Rarely"/>
    <n v="1476"/>
    <x v="0"/>
    <n v="4"/>
    <n v="1"/>
    <x v="2"/>
    <n v="1"/>
    <n v="1445"/>
    <n v="4"/>
    <x v="0"/>
    <n v="42"/>
    <n v="3"/>
    <n v="2"/>
    <x v="0"/>
    <n v="3"/>
    <x v="1"/>
    <n v="4162"/>
    <n v="15211"/>
    <n v="1"/>
    <s v="Y"/>
    <s v="Yes"/>
    <n v="12"/>
    <n v="3"/>
    <n v="3"/>
    <n v="80"/>
    <n v="2"/>
    <n v="5"/>
    <n v="3"/>
    <n v="3"/>
    <n v="5"/>
    <n v="4"/>
    <n v="0"/>
    <n v="3"/>
  </r>
  <r>
    <n v="32"/>
    <x v="2"/>
    <x v="1"/>
    <s v="Travel_Rarely"/>
    <n v="601"/>
    <x v="0"/>
    <n v="7"/>
    <n v="5"/>
    <x v="3"/>
    <n v="1"/>
    <n v="1446"/>
    <n v="4"/>
    <x v="1"/>
    <n v="97"/>
    <n v="3"/>
    <n v="2"/>
    <x v="0"/>
    <n v="4"/>
    <x v="1"/>
    <n v="9204"/>
    <n v="23343"/>
    <n v="4"/>
    <s v="Y"/>
    <s v="No"/>
    <n v="12"/>
    <n v="3"/>
    <n v="3"/>
    <n v="80"/>
    <n v="1"/>
    <n v="7"/>
    <n v="3"/>
    <n v="2"/>
    <n v="4"/>
    <n v="3"/>
    <n v="0"/>
    <n v="3"/>
  </r>
  <r>
    <n v="34"/>
    <x v="2"/>
    <x v="1"/>
    <s v="Travel_Rarely"/>
    <n v="401"/>
    <x v="1"/>
    <n v="1"/>
    <n v="3"/>
    <x v="0"/>
    <n v="1"/>
    <n v="1447"/>
    <n v="4"/>
    <x v="0"/>
    <n v="86"/>
    <n v="2"/>
    <n v="1"/>
    <x v="2"/>
    <n v="2"/>
    <x v="1"/>
    <n v="3294"/>
    <n v="3708"/>
    <n v="5"/>
    <s v="Y"/>
    <s v="No"/>
    <n v="17"/>
    <n v="3"/>
    <n v="1"/>
    <n v="80"/>
    <n v="1"/>
    <n v="7"/>
    <n v="2"/>
    <n v="2"/>
    <n v="5"/>
    <n v="4"/>
    <n v="0"/>
    <n v="2"/>
  </r>
  <r>
    <n v="41"/>
    <x v="0"/>
    <x v="1"/>
    <s v="Travel_Rarely"/>
    <n v="1283"/>
    <x v="1"/>
    <n v="5"/>
    <n v="5"/>
    <x v="2"/>
    <n v="1"/>
    <n v="1448"/>
    <n v="2"/>
    <x v="1"/>
    <n v="90"/>
    <n v="4"/>
    <n v="1"/>
    <x v="1"/>
    <n v="3"/>
    <x v="1"/>
    <n v="2127"/>
    <n v="5561"/>
    <n v="2"/>
    <s v="Y"/>
    <s v="Yes"/>
    <n v="12"/>
    <n v="3"/>
    <n v="1"/>
    <n v="80"/>
    <n v="0"/>
    <n v="7"/>
    <n v="5"/>
    <n v="2"/>
    <n v="4"/>
    <n v="2"/>
    <n v="0"/>
    <n v="3"/>
  </r>
  <r>
    <n v="40"/>
    <x v="0"/>
    <x v="1"/>
    <s v="Non-Travel"/>
    <n v="663"/>
    <x v="1"/>
    <n v="9"/>
    <n v="4"/>
    <x v="1"/>
    <n v="1"/>
    <n v="1449"/>
    <n v="3"/>
    <x v="1"/>
    <n v="81"/>
    <n v="3"/>
    <n v="2"/>
    <x v="2"/>
    <n v="3"/>
    <x v="2"/>
    <n v="3975"/>
    <n v="23099"/>
    <n v="3"/>
    <s v="Y"/>
    <s v="No"/>
    <n v="11"/>
    <n v="3"/>
    <n v="3"/>
    <n v="80"/>
    <n v="2"/>
    <n v="11"/>
    <n v="2"/>
    <n v="4"/>
    <n v="8"/>
    <n v="7"/>
    <n v="0"/>
    <n v="7"/>
  </r>
  <r>
    <n v="31"/>
    <x v="2"/>
    <x v="1"/>
    <s v="Travel_Rarely"/>
    <n v="326"/>
    <x v="0"/>
    <n v="8"/>
    <n v="2"/>
    <x v="0"/>
    <n v="1"/>
    <n v="1453"/>
    <n v="1"/>
    <x v="1"/>
    <n v="31"/>
    <n v="3"/>
    <n v="3"/>
    <x v="0"/>
    <n v="4"/>
    <x v="2"/>
    <n v="10793"/>
    <n v="8386"/>
    <n v="1"/>
    <s v="Y"/>
    <s v="No"/>
    <n v="18"/>
    <n v="3"/>
    <n v="1"/>
    <n v="80"/>
    <n v="1"/>
    <n v="13"/>
    <n v="5"/>
    <n v="3"/>
    <n v="13"/>
    <n v="7"/>
    <n v="9"/>
    <n v="9"/>
  </r>
  <r>
    <n v="46"/>
    <x v="1"/>
    <x v="0"/>
    <s v="Travel_Rarely"/>
    <n v="377"/>
    <x v="0"/>
    <n v="9"/>
    <n v="3"/>
    <x v="3"/>
    <n v="1"/>
    <n v="1457"/>
    <n v="1"/>
    <x v="1"/>
    <n v="52"/>
    <n v="3"/>
    <n v="3"/>
    <x v="0"/>
    <n v="4"/>
    <x v="2"/>
    <n v="10096"/>
    <n v="15986"/>
    <n v="4"/>
    <s v="Y"/>
    <s v="No"/>
    <n v="11"/>
    <n v="3"/>
    <n v="1"/>
    <n v="80"/>
    <n v="1"/>
    <n v="28"/>
    <n v="1"/>
    <n v="4"/>
    <n v="7"/>
    <n v="7"/>
    <n v="4"/>
    <n v="3"/>
  </r>
  <r>
    <n v="39"/>
    <x v="0"/>
    <x v="0"/>
    <s v="Non-Travel"/>
    <n v="592"/>
    <x v="1"/>
    <n v="2"/>
    <n v="3"/>
    <x v="0"/>
    <n v="1"/>
    <n v="1458"/>
    <n v="1"/>
    <x v="0"/>
    <n v="54"/>
    <n v="2"/>
    <n v="1"/>
    <x v="2"/>
    <n v="1"/>
    <x v="0"/>
    <n v="3646"/>
    <n v="17181"/>
    <n v="2"/>
    <s v="Y"/>
    <s v="Yes"/>
    <n v="23"/>
    <n v="4"/>
    <n v="2"/>
    <n v="80"/>
    <n v="0"/>
    <n v="11"/>
    <n v="2"/>
    <n v="4"/>
    <n v="1"/>
    <n v="0"/>
    <n v="0"/>
    <n v="0"/>
  </r>
  <r>
    <n v="31"/>
    <x v="2"/>
    <x v="0"/>
    <s v="Travel_Frequently"/>
    <n v="1445"/>
    <x v="1"/>
    <n v="1"/>
    <n v="5"/>
    <x v="0"/>
    <n v="1"/>
    <n v="1459"/>
    <n v="3"/>
    <x v="0"/>
    <n v="100"/>
    <n v="4"/>
    <n v="3"/>
    <x v="3"/>
    <n v="2"/>
    <x v="0"/>
    <n v="7446"/>
    <n v="8931"/>
    <n v="1"/>
    <s v="Y"/>
    <s v="No"/>
    <n v="11"/>
    <n v="3"/>
    <n v="1"/>
    <n v="80"/>
    <n v="0"/>
    <n v="10"/>
    <n v="2"/>
    <n v="3"/>
    <n v="10"/>
    <n v="8"/>
    <n v="4"/>
    <n v="7"/>
  </r>
  <r>
    <n v="45"/>
    <x v="0"/>
    <x v="1"/>
    <s v="Travel_Rarely"/>
    <n v="1038"/>
    <x v="1"/>
    <n v="20"/>
    <n v="3"/>
    <x v="2"/>
    <n v="1"/>
    <n v="1460"/>
    <n v="2"/>
    <x v="1"/>
    <n v="95"/>
    <n v="1"/>
    <n v="3"/>
    <x v="4"/>
    <n v="1"/>
    <x v="2"/>
    <n v="10851"/>
    <n v="19863"/>
    <n v="2"/>
    <s v="Y"/>
    <s v="Yes"/>
    <n v="18"/>
    <n v="3"/>
    <n v="2"/>
    <n v="80"/>
    <n v="1"/>
    <n v="24"/>
    <n v="2"/>
    <n v="3"/>
    <n v="7"/>
    <n v="7"/>
    <n v="0"/>
    <n v="7"/>
  </r>
  <r>
    <n v="31"/>
    <x v="2"/>
    <x v="1"/>
    <s v="Travel_Rarely"/>
    <n v="1398"/>
    <x v="2"/>
    <n v="8"/>
    <n v="2"/>
    <x v="2"/>
    <n v="1"/>
    <n v="1461"/>
    <n v="4"/>
    <x v="0"/>
    <n v="96"/>
    <n v="4"/>
    <n v="1"/>
    <x v="8"/>
    <n v="2"/>
    <x v="0"/>
    <n v="2109"/>
    <n v="24609"/>
    <n v="9"/>
    <s v="Y"/>
    <s v="No"/>
    <n v="18"/>
    <n v="3"/>
    <n v="4"/>
    <n v="80"/>
    <n v="0"/>
    <n v="8"/>
    <n v="3"/>
    <n v="3"/>
    <n v="3"/>
    <n v="2"/>
    <n v="0"/>
    <n v="2"/>
  </r>
  <r>
    <n v="31"/>
    <x v="2"/>
    <x v="0"/>
    <s v="Travel_Frequently"/>
    <n v="523"/>
    <x v="1"/>
    <n v="2"/>
    <n v="3"/>
    <x v="0"/>
    <n v="1"/>
    <n v="1464"/>
    <n v="2"/>
    <x v="1"/>
    <n v="94"/>
    <n v="3"/>
    <n v="1"/>
    <x v="2"/>
    <n v="4"/>
    <x v="1"/>
    <n v="3722"/>
    <n v="21081"/>
    <n v="6"/>
    <s v="Y"/>
    <s v="Yes"/>
    <n v="13"/>
    <n v="3"/>
    <n v="3"/>
    <n v="80"/>
    <n v="1"/>
    <n v="7"/>
    <n v="2"/>
    <n v="1"/>
    <n v="2"/>
    <n v="2"/>
    <n v="2"/>
    <n v="2"/>
  </r>
  <r>
    <n v="45"/>
    <x v="0"/>
    <x v="1"/>
    <s v="Travel_Rarely"/>
    <n v="1448"/>
    <x v="1"/>
    <n v="29"/>
    <n v="3"/>
    <x v="4"/>
    <n v="1"/>
    <n v="1465"/>
    <n v="2"/>
    <x v="1"/>
    <n v="55"/>
    <n v="3"/>
    <n v="3"/>
    <x v="3"/>
    <n v="4"/>
    <x v="1"/>
    <n v="9380"/>
    <n v="14720"/>
    <n v="4"/>
    <s v="Y"/>
    <s v="Yes"/>
    <n v="18"/>
    <n v="3"/>
    <n v="4"/>
    <n v="80"/>
    <n v="2"/>
    <n v="10"/>
    <n v="4"/>
    <n v="4"/>
    <n v="3"/>
    <n v="1"/>
    <n v="1"/>
    <n v="2"/>
  </r>
  <r>
    <n v="48"/>
    <x v="1"/>
    <x v="1"/>
    <s v="Travel_Rarely"/>
    <n v="1221"/>
    <x v="0"/>
    <n v="7"/>
    <n v="3"/>
    <x v="3"/>
    <n v="1"/>
    <n v="1466"/>
    <n v="3"/>
    <x v="1"/>
    <n v="96"/>
    <n v="3"/>
    <n v="2"/>
    <x v="0"/>
    <n v="1"/>
    <x v="2"/>
    <n v="5486"/>
    <n v="24795"/>
    <n v="4"/>
    <s v="Y"/>
    <s v="No"/>
    <n v="11"/>
    <n v="3"/>
    <n v="1"/>
    <n v="80"/>
    <n v="3"/>
    <n v="15"/>
    <n v="3"/>
    <n v="3"/>
    <n v="2"/>
    <n v="2"/>
    <n v="2"/>
    <n v="2"/>
  </r>
  <r>
    <n v="34"/>
    <x v="2"/>
    <x v="0"/>
    <s v="Travel_Rarely"/>
    <n v="1107"/>
    <x v="2"/>
    <n v="9"/>
    <n v="4"/>
    <x v="4"/>
    <n v="1"/>
    <n v="1467"/>
    <n v="1"/>
    <x v="0"/>
    <n v="52"/>
    <n v="3"/>
    <n v="1"/>
    <x v="8"/>
    <n v="3"/>
    <x v="1"/>
    <n v="2742"/>
    <n v="3072"/>
    <n v="1"/>
    <s v="Y"/>
    <s v="No"/>
    <n v="15"/>
    <n v="3"/>
    <n v="4"/>
    <n v="80"/>
    <n v="0"/>
    <n v="2"/>
    <n v="0"/>
    <n v="3"/>
    <n v="2"/>
    <n v="2"/>
    <n v="2"/>
    <n v="2"/>
  </r>
  <r>
    <n v="40"/>
    <x v="0"/>
    <x v="1"/>
    <s v="Non-Travel"/>
    <n v="218"/>
    <x v="1"/>
    <n v="8"/>
    <n v="1"/>
    <x v="2"/>
    <n v="1"/>
    <n v="1468"/>
    <n v="4"/>
    <x v="1"/>
    <n v="55"/>
    <n v="2"/>
    <n v="3"/>
    <x v="7"/>
    <n v="2"/>
    <x v="2"/>
    <n v="13757"/>
    <n v="25178"/>
    <n v="2"/>
    <s v="Y"/>
    <s v="No"/>
    <n v="11"/>
    <n v="3"/>
    <n v="3"/>
    <n v="80"/>
    <n v="1"/>
    <n v="16"/>
    <n v="5"/>
    <n v="3"/>
    <n v="9"/>
    <n v="8"/>
    <n v="4"/>
    <n v="8"/>
  </r>
  <r>
    <n v="28"/>
    <x v="2"/>
    <x v="1"/>
    <s v="Travel_Rarely"/>
    <n v="866"/>
    <x v="0"/>
    <n v="5"/>
    <n v="3"/>
    <x v="2"/>
    <n v="1"/>
    <n v="1469"/>
    <n v="4"/>
    <x v="1"/>
    <n v="84"/>
    <n v="3"/>
    <n v="2"/>
    <x v="0"/>
    <n v="1"/>
    <x v="0"/>
    <n v="8463"/>
    <n v="23490"/>
    <n v="0"/>
    <s v="Y"/>
    <s v="No"/>
    <n v="18"/>
    <n v="3"/>
    <n v="4"/>
    <n v="80"/>
    <n v="0"/>
    <n v="6"/>
    <n v="4"/>
    <n v="3"/>
    <n v="5"/>
    <n v="4"/>
    <n v="1"/>
    <n v="3"/>
  </r>
  <r>
    <n v="44"/>
    <x v="0"/>
    <x v="1"/>
    <s v="Non-Travel"/>
    <n v="981"/>
    <x v="1"/>
    <n v="5"/>
    <n v="3"/>
    <x v="0"/>
    <n v="1"/>
    <n v="1471"/>
    <n v="3"/>
    <x v="1"/>
    <n v="90"/>
    <n v="2"/>
    <n v="1"/>
    <x v="2"/>
    <n v="3"/>
    <x v="0"/>
    <n v="3162"/>
    <n v="7973"/>
    <n v="3"/>
    <s v="Y"/>
    <s v="No"/>
    <n v="14"/>
    <n v="3"/>
    <n v="4"/>
    <n v="80"/>
    <n v="0"/>
    <n v="7"/>
    <n v="5"/>
    <n v="3"/>
    <n v="5"/>
    <n v="2"/>
    <n v="0"/>
    <n v="3"/>
  </r>
  <r>
    <n v="53"/>
    <x v="1"/>
    <x v="1"/>
    <s v="Travel_Rarely"/>
    <n v="447"/>
    <x v="1"/>
    <n v="2"/>
    <n v="3"/>
    <x v="2"/>
    <n v="1"/>
    <n v="1472"/>
    <n v="4"/>
    <x v="1"/>
    <n v="39"/>
    <n v="4"/>
    <n v="4"/>
    <x v="7"/>
    <n v="2"/>
    <x v="0"/>
    <n v="16598"/>
    <n v="19764"/>
    <n v="4"/>
    <s v="Y"/>
    <s v="No"/>
    <n v="12"/>
    <n v="3"/>
    <n v="2"/>
    <n v="80"/>
    <n v="0"/>
    <n v="35"/>
    <n v="2"/>
    <n v="2"/>
    <n v="9"/>
    <n v="8"/>
    <n v="8"/>
    <n v="8"/>
  </r>
  <r>
    <n v="49"/>
    <x v="1"/>
    <x v="1"/>
    <s v="Travel_Rarely"/>
    <n v="1495"/>
    <x v="1"/>
    <n v="5"/>
    <n v="4"/>
    <x v="4"/>
    <n v="1"/>
    <n v="1473"/>
    <n v="1"/>
    <x v="1"/>
    <n v="96"/>
    <n v="3"/>
    <n v="2"/>
    <x v="4"/>
    <n v="3"/>
    <x v="1"/>
    <n v="6651"/>
    <n v="21534"/>
    <n v="2"/>
    <s v="Y"/>
    <s v="No"/>
    <n v="14"/>
    <n v="3"/>
    <n v="2"/>
    <n v="80"/>
    <n v="1"/>
    <n v="20"/>
    <n v="0"/>
    <n v="2"/>
    <n v="3"/>
    <n v="2"/>
    <n v="1"/>
    <n v="2"/>
  </r>
  <r>
    <n v="40"/>
    <x v="0"/>
    <x v="1"/>
    <s v="Travel_Rarely"/>
    <n v="896"/>
    <x v="1"/>
    <n v="2"/>
    <n v="3"/>
    <x v="2"/>
    <n v="1"/>
    <n v="1474"/>
    <n v="3"/>
    <x v="1"/>
    <n v="68"/>
    <n v="3"/>
    <n v="1"/>
    <x v="1"/>
    <n v="3"/>
    <x v="2"/>
    <n v="2345"/>
    <n v="8045"/>
    <n v="2"/>
    <s v="Y"/>
    <s v="No"/>
    <n v="14"/>
    <n v="3"/>
    <n v="3"/>
    <n v="80"/>
    <n v="1"/>
    <n v="8"/>
    <n v="3"/>
    <n v="4"/>
    <n v="3"/>
    <n v="1"/>
    <n v="1"/>
    <n v="2"/>
  </r>
  <r>
    <n v="44"/>
    <x v="0"/>
    <x v="1"/>
    <s v="Travel_Rarely"/>
    <n v="1467"/>
    <x v="1"/>
    <n v="20"/>
    <n v="3"/>
    <x v="0"/>
    <n v="1"/>
    <n v="1475"/>
    <n v="4"/>
    <x v="1"/>
    <n v="49"/>
    <n v="3"/>
    <n v="1"/>
    <x v="1"/>
    <n v="2"/>
    <x v="0"/>
    <n v="3420"/>
    <n v="21158"/>
    <n v="1"/>
    <s v="Y"/>
    <s v="No"/>
    <n v="13"/>
    <n v="3"/>
    <n v="3"/>
    <n v="80"/>
    <n v="0"/>
    <n v="6"/>
    <n v="3"/>
    <n v="2"/>
    <n v="5"/>
    <n v="2"/>
    <n v="1"/>
    <n v="3"/>
  </r>
  <r>
    <n v="33"/>
    <x v="2"/>
    <x v="1"/>
    <s v="Travel_Frequently"/>
    <n v="430"/>
    <x v="0"/>
    <n v="7"/>
    <n v="3"/>
    <x v="2"/>
    <n v="1"/>
    <n v="1477"/>
    <n v="4"/>
    <x v="1"/>
    <n v="54"/>
    <n v="3"/>
    <n v="2"/>
    <x v="0"/>
    <n v="1"/>
    <x v="1"/>
    <n v="4373"/>
    <n v="17456"/>
    <n v="0"/>
    <s v="Y"/>
    <s v="No"/>
    <n v="14"/>
    <n v="3"/>
    <n v="1"/>
    <n v="80"/>
    <n v="2"/>
    <n v="5"/>
    <n v="2"/>
    <n v="3"/>
    <n v="4"/>
    <n v="3"/>
    <n v="0"/>
    <n v="3"/>
  </r>
  <r>
    <n v="34"/>
    <x v="2"/>
    <x v="1"/>
    <s v="Travel_Rarely"/>
    <n v="1326"/>
    <x v="0"/>
    <n v="3"/>
    <n v="3"/>
    <x v="1"/>
    <n v="1"/>
    <n v="1478"/>
    <n v="4"/>
    <x v="1"/>
    <n v="81"/>
    <n v="1"/>
    <n v="2"/>
    <x v="0"/>
    <n v="1"/>
    <x v="0"/>
    <n v="4759"/>
    <n v="15891"/>
    <n v="3"/>
    <s v="Y"/>
    <s v="No"/>
    <n v="18"/>
    <n v="3"/>
    <n v="4"/>
    <n v="80"/>
    <n v="0"/>
    <n v="15"/>
    <n v="2"/>
    <n v="3"/>
    <n v="13"/>
    <n v="9"/>
    <n v="3"/>
    <n v="12"/>
  </r>
  <r>
    <n v="30"/>
    <x v="2"/>
    <x v="1"/>
    <s v="Travel_Rarely"/>
    <n v="1358"/>
    <x v="0"/>
    <n v="16"/>
    <n v="1"/>
    <x v="0"/>
    <n v="1"/>
    <n v="1479"/>
    <n v="4"/>
    <x v="1"/>
    <n v="96"/>
    <n v="3"/>
    <n v="2"/>
    <x v="0"/>
    <n v="3"/>
    <x v="1"/>
    <n v="5301"/>
    <n v="2939"/>
    <n v="8"/>
    <s v="Y"/>
    <s v="No"/>
    <n v="15"/>
    <n v="3"/>
    <n v="3"/>
    <n v="80"/>
    <n v="2"/>
    <n v="4"/>
    <n v="2"/>
    <n v="2"/>
    <n v="2"/>
    <n v="1"/>
    <n v="2"/>
    <n v="2"/>
  </r>
  <r>
    <n v="42"/>
    <x v="0"/>
    <x v="1"/>
    <s v="Travel_Frequently"/>
    <n v="748"/>
    <x v="1"/>
    <n v="9"/>
    <n v="2"/>
    <x v="2"/>
    <n v="1"/>
    <n v="1480"/>
    <n v="1"/>
    <x v="0"/>
    <n v="74"/>
    <n v="3"/>
    <n v="1"/>
    <x v="2"/>
    <n v="4"/>
    <x v="0"/>
    <n v="3673"/>
    <n v="16458"/>
    <n v="1"/>
    <s v="Y"/>
    <s v="No"/>
    <n v="13"/>
    <n v="3"/>
    <n v="3"/>
    <n v="80"/>
    <n v="0"/>
    <n v="12"/>
    <n v="3"/>
    <n v="3"/>
    <n v="12"/>
    <n v="9"/>
    <n v="5"/>
    <n v="8"/>
  </r>
  <r>
    <n v="44"/>
    <x v="0"/>
    <x v="1"/>
    <s v="Travel_Frequently"/>
    <n v="383"/>
    <x v="0"/>
    <n v="1"/>
    <n v="5"/>
    <x v="3"/>
    <n v="1"/>
    <n v="1481"/>
    <n v="1"/>
    <x v="0"/>
    <n v="79"/>
    <n v="3"/>
    <n v="2"/>
    <x v="0"/>
    <n v="3"/>
    <x v="1"/>
    <n v="4768"/>
    <n v="9282"/>
    <n v="7"/>
    <s v="Y"/>
    <s v="No"/>
    <n v="12"/>
    <n v="3"/>
    <n v="3"/>
    <n v="80"/>
    <n v="1"/>
    <n v="11"/>
    <n v="4"/>
    <n v="2"/>
    <n v="1"/>
    <n v="0"/>
    <n v="0"/>
    <n v="0"/>
  </r>
  <r>
    <n v="30"/>
    <x v="2"/>
    <x v="1"/>
    <s v="Non-Travel"/>
    <n v="990"/>
    <x v="1"/>
    <n v="7"/>
    <n v="3"/>
    <x v="4"/>
    <n v="1"/>
    <n v="1482"/>
    <n v="3"/>
    <x v="1"/>
    <n v="64"/>
    <n v="3"/>
    <n v="1"/>
    <x v="1"/>
    <n v="3"/>
    <x v="2"/>
    <n v="1274"/>
    <n v="7152"/>
    <n v="1"/>
    <s v="Y"/>
    <s v="No"/>
    <n v="13"/>
    <n v="3"/>
    <n v="2"/>
    <n v="80"/>
    <n v="2"/>
    <n v="1"/>
    <n v="2"/>
    <n v="2"/>
    <n v="1"/>
    <n v="0"/>
    <n v="0"/>
    <n v="0"/>
  </r>
  <r>
    <n v="57"/>
    <x v="1"/>
    <x v="1"/>
    <s v="Travel_Rarely"/>
    <n v="405"/>
    <x v="1"/>
    <n v="1"/>
    <n v="2"/>
    <x v="0"/>
    <n v="1"/>
    <n v="1483"/>
    <n v="2"/>
    <x v="1"/>
    <n v="93"/>
    <n v="4"/>
    <n v="2"/>
    <x v="1"/>
    <n v="3"/>
    <x v="1"/>
    <n v="4900"/>
    <n v="2721"/>
    <n v="0"/>
    <s v="Y"/>
    <s v="No"/>
    <n v="24"/>
    <n v="4"/>
    <n v="1"/>
    <n v="80"/>
    <n v="1"/>
    <n v="13"/>
    <n v="2"/>
    <n v="2"/>
    <n v="12"/>
    <n v="9"/>
    <n v="2"/>
    <n v="8"/>
  </r>
  <r>
    <n v="49"/>
    <x v="1"/>
    <x v="1"/>
    <s v="Travel_Rarely"/>
    <n v="1490"/>
    <x v="1"/>
    <n v="7"/>
    <n v="4"/>
    <x v="0"/>
    <n v="1"/>
    <n v="1484"/>
    <n v="3"/>
    <x v="1"/>
    <n v="35"/>
    <n v="3"/>
    <n v="3"/>
    <x v="4"/>
    <n v="2"/>
    <x v="2"/>
    <n v="10466"/>
    <n v="20948"/>
    <n v="3"/>
    <s v="Y"/>
    <s v="No"/>
    <n v="14"/>
    <n v="3"/>
    <n v="2"/>
    <n v="80"/>
    <n v="2"/>
    <n v="29"/>
    <n v="3"/>
    <n v="3"/>
    <n v="8"/>
    <n v="7"/>
    <n v="0"/>
    <n v="7"/>
  </r>
  <r>
    <n v="34"/>
    <x v="2"/>
    <x v="1"/>
    <s v="Travel_Frequently"/>
    <n v="829"/>
    <x v="1"/>
    <n v="15"/>
    <n v="3"/>
    <x v="2"/>
    <n v="1"/>
    <n v="1485"/>
    <n v="2"/>
    <x v="1"/>
    <n v="71"/>
    <n v="3"/>
    <n v="4"/>
    <x v="7"/>
    <n v="1"/>
    <x v="2"/>
    <n v="17007"/>
    <n v="11929"/>
    <n v="7"/>
    <s v="Y"/>
    <s v="No"/>
    <n v="14"/>
    <n v="3"/>
    <n v="4"/>
    <n v="80"/>
    <n v="2"/>
    <n v="16"/>
    <n v="3"/>
    <n v="2"/>
    <n v="14"/>
    <n v="8"/>
    <n v="6"/>
    <n v="9"/>
  </r>
  <r>
    <n v="28"/>
    <x v="2"/>
    <x v="0"/>
    <s v="Travel_Frequently"/>
    <n v="1496"/>
    <x v="0"/>
    <n v="1"/>
    <n v="3"/>
    <x v="4"/>
    <n v="1"/>
    <n v="1486"/>
    <n v="1"/>
    <x v="1"/>
    <n v="92"/>
    <n v="3"/>
    <n v="1"/>
    <x v="6"/>
    <n v="3"/>
    <x v="1"/>
    <n v="2909"/>
    <n v="15747"/>
    <n v="3"/>
    <s v="Y"/>
    <s v="No"/>
    <n v="15"/>
    <n v="3"/>
    <n v="4"/>
    <n v="80"/>
    <n v="1"/>
    <n v="5"/>
    <n v="3"/>
    <n v="4"/>
    <n v="3"/>
    <n v="2"/>
    <n v="1"/>
    <n v="2"/>
  </r>
  <r>
    <n v="29"/>
    <x v="2"/>
    <x v="0"/>
    <s v="Travel_Frequently"/>
    <n v="115"/>
    <x v="0"/>
    <n v="13"/>
    <n v="3"/>
    <x v="4"/>
    <n v="1"/>
    <n v="1487"/>
    <n v="1"/>
    <x v="0"/>
    <n v="51"/>
    <n v="3"/>
    <n v="2"/>
    <x v="0"/>
    <n v="2"/>
    <x v="0"/>
    <n v="5765"/>
    <n v="17485"/>
    <n v="5"/>
    <s v="Y"/>
    <s v="No"/>
    <n v="11"/>
    <n v="3"/>
    <n v="1"/>
    <n v="80"/>
    <n v="0"/>
    <n v="7"/>
    <n v="4"/>
    <n v="1"/>
    <n v="5"/>
    <n v="3"/>
    <n v="0"/>
    <n v="0"/>
  </r>
  <r>
    <n v="34"/>
    <x v="2"/>
    <x v="0"/>
    <s v="Travel_Rarely"/>
    <n v="790"/>
    <x v="0"/>
    <n v="24"/>
    <n v="4"/>
    <x v="2"/>
    <n v="1"/>
    <n v="1489"/>
    <n v="1"/>
    <x v="0"/>
    <n v="40"/>
    <n v="2"/>
    <n v="2"/>
    <x v="0"/>
    <n v="2"/>
    <x v="0"/>
    <n v="4599"/>
    <n v="7815"/>
    <n v="0"/>
    <s v="Y"/>
    <s v="Yes"/>
    <n v="23"/>
    <n v="4"/>
    <n v="3"/>
    <n v="80"/>
    <n v="0"/>
    <n v="16"/>
    <n v="2"/>
    <n v="4"/>
    <n v="15"/>
    <n v="9"/>
    <n v="10"/>
    <n v="10"/>
  </r>
  <r>
    <n v="35"/>
    <x v="2"/>
    <x v="1"/>
    <s v="Travel_Rarely"/>
    <n v="660"/>
    <x v="0"/>
    <n v="7"/>
    <n v="1"/>
    <x v="0"/>
    <n v="1"/>
    <n v="1492"/>
    <n v="4"/>
    <x v="1"/>
    <n v="76"/>
    <n v="3"/>
    <n v="1"/>
    <x v="6"/>
    <n v="3"/>
    <x v="1"/>
    <n v="2404"/>
    <n v="16192"/>
    <n v="1"/>
    <s v="Y"/>
    <s v="No"/>
    <n v="13"/>
    <n v="3"/>
    <n v="1"/>
    <n v="80"/>
    <n v="1"/>
    <n v="1"/>
    <n v="3"/>
    <n v="3"/>
    <n v="1"/>
    <n v="0"/>
    <n v="0"/>
    <n v="0"/>
  </r>
  <r>
    <n v="24"/>
    <x v="3"/>
    <x v="0"/>
    <s v="Travel_Frequently"/>
    <n v="381"/>
    <x v="1"/>
    <n v="9"/>
    <n v="3"/>
    <x v="2"/>
    <n v="1"/>
    <n v="1494"/>
    <n v="2"/>
    <x v="1"/>
    <n v="89"/>
    <n v="3"/>
    <n v="1"/>
    <x v="2"/>
    <n v="1"/>
    <x v="0"/>
    <n v="3172"/>
    <n v="16998"/>
    <n v="2"/>
    <s v="Y"/>
    <s v="Yes"/>
    <n v="11"/>
    <n v="3"/>
    <n v="3"/>
    <n v="80"/>
    <n v="0"/>
    <n v="4"/>
    <n v="2"/>
    <n v="2"/>
    <n v="0"/>
    <n v="0"/>
    <n v="0"/>
    <n v="0"/>
  </r>
  <r>
    <n v="24"/>
    <x v="3"/>
    <x v="1"/>
    <s v="Non-Travel"/>
    <n v="830"/>
    <x v="0"/>
    <n v="13"/>
    <n v="2"/>
    <x v="0"/>
    <n v="1"/>
    <n v="1495"/>
    <n v="4"/>
    <x v="0"/>
    <n v="78"/>
    <n v="3"/>
    <n v="1"/>
    <x v="6"/>
    <n v="2"/>
    <x v="1"/>
    <n v="2033"/>
    <n v="7103"/>
    <n v="1"/>
    <s v="Y"/>
    <s v="No"/>
    <n v="13"/>
    <n v="3"/>
    <n v="3"/>
    <n v="80"/>
    <n v="1"/>
    <n v="1"/>
    <n v="2"/>
    <n v="3"/>
    <n v="1"/>
    <n v="0"/>
    <n v="0"/>
    <n v="0"/>
  </r>
  <r>
    <n v="44"/>
    <x v="0"/>
    <x v="1"/>
    <s v="Travel_Frequently"/>
    <n v="1193"/>
    <x v="1"/>
    <n v="2"/>
    <n v="1"/>
    <x v="2"/>
    <n v="1"/>
    <n v="1496"/>
    <n v="2"/>
    <x v="1"/>
    <n v="86"/>
    <n v="3"/>
    <n v="3"/>
    <x v="3"/>
    <n v="3"/>
    <x v="0"/>
    <n v="10209"/>
    <n v="19719"/>
    <n v="5"/>
    <s v="Y"/>
    <s v="Yes"/>
    <n v="18"/>
    <n v="3"/>
    <n v="2"/>
    <n v="80"/>
    <n v="0"/>
    <n v="16"/>
    <n v="2"/>
    <n v="2"/>
    <n v="2"/>
    <n v="2"/>
    <n v="2"/>
    <n v="2"/>
  </r>
  <r>
    <n v="29"/>
    <x v="2"/>
    <x v="1"/>
    <s v="Travel_Rarely"/>
    <n v="1246"/>
    <x v="0"/>
    <n v="19"/>
    <n v="3"/>
    <x v="0"/>
    <n v="1"/>
    <n v="1497"/>
    <n v="3"/>
    <x v="1"/>
    <n v="77"/>
    <n v="2"/>
    <n v="2"/>
    <x v="0"/>
    <n v="3"/>
    <x v="2"/>
    <n v="8620"/>
    <n v="23757"/>
    <n v="1"/>
    <s v="Y"/>
    <s v="No"/>
    <n v="14"/>
    <n v="3"/>
    <n v="3"/>
    <n v="80"/>
    <n v="2"/>
    <n v="10"/>
    <n v="3"/>
    <n v="3"/>
    <n v="10"/>
    <n v="7"/>
    <n v="0"/>
    <n v="4"/>
  </r>
  <r>
    <n v="30"/>
    <x v="2"/>
    <x v="1"/>
    <s v="Travel_Rarely"/>
    <n v="330"/>
    <x v="2"/>
    <n v="1"/>
    <n v="3"/>
    <x v="0"/>
    <n v="1"/>
    <n v="1499"/>
    <n v="3"/>
    <x v="1"/>
    <n v="46"/>
    <n v="3"/>
    <n v="1"/>
    <x v="8"/>
    <n v="3"/>
    <x v="2"/>
    <n v="2064"/>
    <n v="15428"/>
    <n v="0"/>
    <s v="Y"/>
    <s v="No"/>
    <n v="21"/>
    <n v="4"/>
    <n v="1"/>
    <n v="80"/>
    <n v="1"/>
    <n v="6"/>
    <n v="3"/>
    <n v="4"/>
    <n v="5"/>
    <n v="3"/>
    <n v="1"/>
    <n v="3"/>
  </r>
  <r>
    <n v="55"/>
    <x v="1"/>
    <x v="1"/>
    <s v="Travel_Rarely"/>
    <n v="1229"/>
    <x v="1"/>
    <n v="4"/>
    <n v="4"/>
    <x v="0"/>
    <n v="1"/>
    <n v="1501"/>
    <n v="4"/>
    <x v="1"/>
    <n v="30"/>
    <n v="3"/>
    <n v="2"/>
    <x v="4"/>
    <n v="3"/>
    <x v="1"/>
    <n v="4035"/>
    <n v="16143"/>
    <n v="0"/>
    <s v="Y"/>
    <s v="Yes"/>
    <n v="16"/>
    <n v="3"/>
    <n v="2"/>
    <n v="80"/>
    <n v="0"/>
    <n v="4"/>
    <n v="2"/>
    <n v="3"/>
    <n v="3"/>
    <n v="2"/>
    <n v="1"/>
    <n v="2"/>
  </r>
  <r>
    <n v="33"/>
    <x v="2"/>
    <x v="1"/>
    <s v="Travel_Rarely"/>
    <n v="1099"/>
    <x v="1"/>
    <n v="4"/>
    <n v="4"/>
    <x v="2"/>
    <n v="1"/>
    <n v="1502"/>
    <n v="1"/>
    <x v="0"/>
    <n v="82"/>
    <n v="2"/>
    <n v="1"/>
    <x v="2"/>
    <n v="2"/>
    <x v="1"/>
    <n v="3838"/>
    <n v="8192"/>
    <n v="8"/>
    <s v="Y"/>
    <s v="No"/>
    <n v="11"/>
    <n v="3"/>
    <n v="4"/>
    <n v="80"/>
    <n v="0"/>
    <n v="8"/>
    <n v="5"/>
    <n v="3"/>
    <n v="5"/>
    <n v="4"/>
    <n v="0"/>
    <n v="2"/>
  </r>
  <r>
    <n v="47"/>
    <x v="1"/>
    <x v="1"/>
    <s v="Travel_Rarely"/>
    <n v="571"/>
    <x v="0"/>
    <n v="14"/>
    <n v="3"/>
    <x v="2"/>
    <n v="1"/>
    <n v="1503"/>
    <n v="3"/>
    <x v="0"/>
    <n v="78"/>
    <n v="3"/>
    <n v="2"/>
    <x v="0"/>
    <n v="3"/>
    <x v="1"/>
    <n v="4591"/>
    <n v="24200"/>
    <n v="3"/>
    <s v="Y"/>
    <s v="Yes"/>
    <n v="17"/>
    <n v="3"/>
    <n v="3"/>
    <n v="80"/>
    <n v="1"/>
    <n v="11"/>
    <n v="4"/>
    <n v="2"/>
    <n v="5"/>
    <n v="4"/>
    <n v="1"/>
    <n v="2"/>
  </r>
  <r>
    <n v="28"/>
    <x v="2"/>
    <x v="0"/>
    <s v="Travel_Frequently"/>
    <n v="289"/>
    <x v="1"/>
    <n v="2"/>
    <n v="2"/>
    <x v="2"/>
    <n v="1"/>
    <n v="1504"/>
    <n v="3"/>
    <x v="1"/>
    <n v="38"/>
    <n v="2"/>
    <n v="1"/>
    <x v="2"/>
    <n v="1"/>
    <x v="0"/>
    <n v="2561"/>
    <n v="5355"/>
    <n v="7"/>
    <s v="Y"/>
    <s v="No"/>
    <n v="11"/>
    <n v="3"/>
    <n v="3"/>
    <n v="80"/>
    <n v="0"/>
    <n v="8"/>
    <n v="2"/>
    <n v="2"/>
    <n v="0"/>
    <n v="0"/>
    <n v="0"/>
    <n v="0"/>
  </r>
  <r>
    <n v="28"/>
    <x v="2"/>
    <x v="1"/>
    <s v="Travel_Rarely"/>
    <n v="1423"/>
    <x v="1"/>
    <n v="1"/>
    <n v="3"/>
    <x v="0"/>
    <n v="1"/>
    <n v="1506"/>
    <n v="1"/>
    <x v="1"/>
    <n v="72"/>
    <n v="2"/>
    <n v="1"/>
    <x v="1"/>
    <n v="3"/>
    <x v="2"/>
    <n v="1563"/>
    <n v="12530"/>
    <n v="1"/>
    <s v="Y"/>
    <s v="No"/>
    <n v="14"/>
    <n v="3"/>
    <n v="4"/>
    <n v="80"/>
    <n v="1"/>
    <n v="1"/>
    <n v="2"/>
    <n v="1"/>
    <n v="1"/>
    <n v="0"/>
    <n v="0"/>
    <n v="0"/>
  </r>
  <r>
    <n v="28"/>
    <x v="2"/>
    <x v="1"/>
    <s v="Travel_Frequently"/>
    <n v="467"/>
    <x v="0"/>
    <n v="7"/>
    <n v="3"/>
    <x v="0"/>
    <n v="1"/>
    <n v="1507"/>
    <n v="3"/>
    <x v="1"/>
    <n v="55"/>
    <n v="3"/>
    <n v="2"/>
    <x v="0"/>
    <n v="1"/>
    <x v="0"/>
    <n v="4898"/>
    <n v="11827"/>
    <n v="0"/>
    <s v="Y"/>
    <s v="No"/>
    <n v="14"/>
    <n v="3"/>
    <n v="4"/>
    <n v="80"/>
    <n v="0"/>
    <n v="5"/>
    <n v="5"/>
    <n v="3"/>
    <n v="4"/>
    <n v="2"/>
    <n v="1"/>
    <n v="3"/>
  </r>
  <r>
    <n v="49"/>
    <x v="1"/>
    <x v="1"/>
    <s v="Travel_Rarely"/>
    <n v="271"/>
    <x v="1"/>
    <n v="3"/>
    <n v="2"/>
    <x v="2"/>
    <n v="1"/>
    <n v="1509"/>
    <n v="3"/>
    <x v="0"/>
    <n v="43"/>
    <n v="2"/>
    <n v="2"/>
    <x v="2"/>
    <n v="1"/>
    <x v="1"/>
    <n v="4789"/>
    <n v="23070"/>
    <n v="4"/>
    <s v="Y"/>
    <s v="No"/>
    <n v="25"/>
    <n v="4"/>
    <n v="1"/>
    <n v="80"/>
    <n v="1"/>
    <n v="10"/>
    <n v="3"/>
    <n v="3"/>
    <n v="3"/>
    <n v="2"/>
    <n v="1"/>
    <n v="2"/>
  </r>
  <r>
    <n v="29"/>
    <x v="2"/>
    <x v="1"/>
    <s v="Travel_Frequently"/>
    <n v="410"/>
    <x v="1"/>
    <n v="2"/>
    <n v="1"/>
    <x v="0"/>
    <n v="1"/>
    <n v="1513"/>
    <n v="4"/>
    <x v="0"/>
    <n v="97"/>
    <n v="3"/>
    <n v="1"/>
    <x v="2"/>
    <n v="2"/>
    <x v="1"/>
    <n v="3180"/>
    <n v="4668"/>
    <n v="0"/>
    <s v="Y"/>
    <s v="No"/>
    <n v="13"/>
    <n v="3"/>
    <n v="3"/>
    <n v="80"/>
    <n v="3"/>
    <n v="4"/>
    <n v="3"/>
    <n v="3"/>
    <n v="3"/>
    <n v="2"/>
    <n v="0"/>
    <n v="2"/>
  </r>
  <r>
    <n v="28"/>
    <x v="2"/>
    <x v="1"/>
    <s v="Travel_Rarely"/>
    <n v="1083"/>
    <x v="1"/>
    <n v="29"/>
    <n v="1"/>
    <x v="0"/>
    <n v="1"/>
    <n v="1514"/>
    <n v="3"/>
    <x v="1"/>
    <n v="96"/>
    <n v="1"/>
    <n v="2"/>
    <x v="3"/>
    <n v="2"/>
    <x v="1"/>
    <n v="6549"/>
    <n v="3173"/>
    <n v="1"/>
    <s v="Y"/>
    <s v="No"/>
    <n v="14"/>
    <n v="3"/>
    <n v="2"/>
    <n v="80"/>
    <n v="2"/>
    <n v="8"/>
    <n v="2"/>
    <n v="2"/>
    <n v="8"/>
    <n v="6"/>
    <n v="1"/>
    <n v="7"/>
  </r>
  <r>
    <n v="33"/>
    <x v="2"/>
    <x v="1"/>
    <s v="Travel_Rarely"/>
    <n v="516"/>
    <x v="1"/>
    <n v="8"/>
    <n v="5"/>
    <x v="0"/>
    <n v="1"/>
    <n v="1515"/>
    <n v="4"/>
    <x v="1"/>
    <n v="69"/>
    <n v="3"/>
    <n v="2"/>
    <x v="4"/>
    <n v="3"/>
    <x v="0"/>
    <n v="6388"/>
    <n v="22049"/>
    <n v="2"/>
    <s v="Y"/>
    <s v="Yes"/>
    <n v="17"/>
    <n v="3"/>
    <n v="1"/>
    <n v="80"/>
    <n v="0"/>
    <n v="14"/>
    <n v="6"/>
    <n v="3"/>
    <n v="0"/>
    <n v="0"/>
    <n v="0"/>
    <n v="0"/>
  </r>
  <r>
    <n v="32"/>
    <x v="2"/>
    <x v="1"/>
    <s v="Travel_Rarely"/>
    <n v="495"/>
    <x v="1"/>
    <n v="10"/>
    <n v="3"/>
    <x v="2"/>
    <n v="1"/>
    <n v="1516"/>
    <n v="3"/>
    <x v="1"/>
    <n v="64"/>
    <n v="3"/>
    <n v="3"/>
    <x v="5"/>
    <n v="4"/>
    <x v="0"/>
    <n v="11244"/>
    <n v="21072"/>
    <n v="2"/>
    <s v="Y"/>
    <s v="No"/>
    <n v="25"/>
    <n v="4"/>
    <n v="2"/>
    <n v="80"/>
    <n v="0"/>
    <n v="10"/>
    <n v="5"/>
    <n v="4"/>
    <n v="5"/>
    <n v="2"/>
    <n v="0"/>
    <n v="0"/>
  </r>
  <r>
    <n v="54"/>
    <x v="1"/>
    <x v="1"/>
    <s v="Travel_Frequently"/>
    <n v="1050"/>
    <x v="1"/>
    <n v="11"/>
    <n v="4"/>
    <x v="2"/>
    <n v="1"/>
    <n v="1520"/>
    <n v="2"/>
    <x v="0"/>
    <n v="87"/>
    <n v="3"/>
    <n v="4"/>
    <x v="5"/>
    <n v="4"/>
    <x v="2"/>
    <n v="16032"/>
    <n v="24456"/>
    <n v="3"/>
    <s v="Y"/>
    <s v="No"/>
    <n v="20"/>
    <n v="4"/>
    <n v="1"/>
    <n v="80"/>
    <n v="1"/>
    <n v="26"/>
    <n v="2"/>
    <n v="3"/>
    <n v="14"/>
    <n v="9"/>
    <n v="1"/>
    <n v="12"/>
  </r>
  <r>
    <n v="29"/>
    <x v="2"/>
    <x v="0"/>
    <s v="Travel_Rarely"/>
    <n v="224"/>
    <x v="1"/>
    <n v="1"/>
    <n v="4"/>
    <x v="4"/>
    <n v="1"/>
    <n v="1522"/>
    <n v="1"/>
    <x v="1"/>
    <n v="100"/>
    <n v="2"/>
    <n v="1"/>
    <x v="1"/>
    <n v="1"/>
    <x v="0"/>
    <n v="2362"/>
    <n v="7568"/>
    <n v="6"/>
    <s v="Y"/>
    <s v="No"/>
    <n v="13"/>
    <n v="3"/>
    <n v="3"/>
    <n v="80"/>
    <n v="0"/>
    <n v="11"/>
    <n v="2"/>
    <n v="1"/>
    <n v="9"/>
    <n v="7"/>
    <n v="0"/>
    <n v="7"/>
  </r>
  <r>
    <n v="44"/>
    <x v="0"/>
    <x v="1"/>
    <s v="Travel_Rarely"/>
    <n v="136"/>
    <x v="1"/>
    <n v="28"/>
    <n v="3"/>
    <x v="0"/>
    <n v="1"/>
    <n v="1523"/>
    <n v="4"/>
    <x v="1"/>
    <n v="32"/>
    <n v="3"/>
    <n v="4"/>
    <x v="7"/>
    <n v="1"/>
    <x v="1"/>
    <n v="16328"/>
    <n v="22074"/>
    <n v="3"/>
    <s v="Y"/>
    <s v="No"/>
    <n v="13"/>
    <n v="3"/>
    <n v="3"/>
    <n v="80"/>
    <n v="1"/>
    <n v="24"/>
    <n v="1"/>
    <n v="4"/>
    <n v="20"/>
    <n v="6"/>
    <n v="14"/>
    <n v="17"/>
  </r>
  <r>
    <n v="39"/>
    <x v="0"/>
    <x v="1"/>
    <s v="Travel_Rarely"/>
    <n v="1089"/>
    <x v="1"/>
    <n v="6"/>
    <n v="3"/>
    <x v="0"/>
    <n v="1"/>
    <n v="1525"/>
    <n v="2"/>
    <x v="0"/>
    <n v="32"/>
    <n v="3"/>
    <n v="3"/>
    <x v="3"/>
    <n v="2"/>
    <x v="0"/>
    <n v="8376"/>
    <n v="9150"/>
    <n v="4"/>
    <s v="Y"/>
    <s v="No"/>
    <n v="18"/>
    <n v="3"/>
    <n v="4"/>
    <n v="80"/>
    <n v="0"/>
    <n v="9"/>
    <n v="3"/>
    <n v="3"/>
    <n v="2"/>
    <n v="0"/>
    <n v="2"/>
    <n v="2"/>
  </r>
  <r>
    <n v="46"/>
    <x v="1"/>
    <x v="1"/>
    <s v="Travel_Rarely"/>
    <n v="228"/>
    <x v="0"/>
    <n v="3"/>
    <n v="3"/>
    <x v="0"/>
    <n v="1"/>
    <n v="1527"/>
    <n v="3"/>
    <x v="0"/>
    <n v="51"/>
    <n v="3"/>
    <n v="4"/>
    <x v="5"/>
    <n v="2"/>
    <x v="1"/>
    <n v="16606"/>
    <n v="11380"/>
    <n v="8"/>
    <s v="Y"/>
    <s v="No"/>
    <n v="12"/>
    <n v="3"/>
    <n v="4"/>
    <n v="80"/>
    <n v="1"/>
    <n v="23"/>
    <n v="2"/>
    <n v="4"/>
    <n v="13"/>
    <n v="12"/>
    <n v="5"/>
    <n v="1"/>
  </r>
  <r>
    <n v="35"/>
    <x v="2"/>
    <x v="1"/>
    <s v="Travel_Rarely"/>
    <n v="1029"/>
    <x v="1"/>
    <n v="16"/>
    <n v="3"/>
    <x v="0"/>
    <n v="1"/>
    <n v="1529"/>
    <n v="4"/>
    <x v="0"/>
    <n v="91"/>
    <n v="2"/>
    <n v="3"/>
    <x v="4"/>
    <n v="2"/>
    <x v="0"/>
    <n v="8606"/>
    <n v="21195"/>
    <n v="1"/>
    <s v="Y"/>
    <s v="No"/>
    <n v="19"/>
    <n v="3"/>
    <n v="4"/>
    <n v="80"/>
    <n v="0"/>
    <n v="11"/>
    <n v="3"/>
    <n v="1"/>
    <n v="11"/>
    <n v="8"/>
    <n v="3"/>
    <n v="3"/>
  </r>
  <r>
    <n v="23"/>
    <x v="3"/>
    <x v="1"/>
    <s v="Travel_Rarely"/>
    <n v="507"/>
    <x v="1"/>
    <n v="20"/>
    <n v="1"/>
    <x v="0"/>
    <n v="1"/>
    <n v="1533"/>
    <n v="1"/>
    <x v="1"/>
    <n v="97"/>
    <n v="3"/>
    <n v="2"/>
    <x v="2"/>
    <n v="3"/>
    <x v="0"/>
    <n v="2272"/>
    <n v="24812"/>
    <n v="0"/>
    <s v="Y"/>
    <s v="No"/>
    <n v="14"/>
    <n v="3"/>
    <n v="2"/>
    <n v="80"/>
    <n v="0"/>
    <n v="5"/>
    <n v="2"/>
    <n v="3"/>
    <n v="4"/>
    <n v="3"/>
    <n v="1"/>
    <n v="2"/>
  </r>
  <r>
    <n v="40"/>
    <x v="0"/>
    <x v="0"/>
    <s v="Travel_Rarely"/>
    <n v="676"/>
    <x v="1"/>
    <n v="9"/>
    <n v="4"/>
    <x v="0"/>
    <n v="1"/>
    <n v="1534"/>
    <n v="4"/>
    <x v="1"/>
    <n v="86"/>
    <n v="3"/>
    <n v="1"/>
    <x v="2"/>
    <n v="1"/>
    <x v="0"/>
    <n v="2018"/>
    <n v="21831"/>
    <n v="3"/>
    <s v="Y"/>
    <s v="No"/>
    <n v="14"/>
    <n v="3"/>
    <n v="2"/>
    <n v="80"/>
    <n v="0"/>
    <n v="15"/>
    <n v="3"/>
    <n v="1"/>
    <n v="5"/>
    <n v="4"/>
    <n v="1"/>
    <n v="0"/>
  </r>
  <r>
    <n v="34"/>
    <x v="2"/>
    <x v="1"/>
    <s v="Travel_Rarely"/>
    <n v="971"/>
    <x v="0"/>
    <n v="1"/>
    <n v="3"/>
    <x v="4"/>
    <n v="1"/>
    <n v="1535"/>
    <n v="4"/>
    <x v="1"/>
    <n v="64"/>
    <n v="2"/>
    <n v="3"/>
    <x v="0"/>
    <n v="3"/>
    <x v="1"/>
    <n v="7083"/>
    <n v="12288"/>
    <n v="1"/>
    <s v="Y"/>
    <s v="Yes"/>
    <n v="14"/>
    <n v="3"/>
    <n v="4"/>
    <n v="80"/>
    <n v="0"/>
    <n v="10"/>
    <n v="3"/>
    <n v="3"/>
    <n v="10"/>
    <n v="9"/>
    <n v="8"/>
    <n v="6"/>
  </r>
  <r>
    <n v="31"/>
    <x v="2"/>
    <x v="0"/>
    <s v="Travel_Frequently"/>
    <n v="561"/>
    <x v="1"/>
    <n v="3"/>
    <n v="3"/>
    <x v="0"/>
    <n v="1"/>
    <n v="1537"/>
    <n v="4"/>
    <x v="0"/>
    <n v="33"/>
    <n v="3"/>
    <n v="1"/>
    <x v="1"/>
    <n v="3"/>
    <x v="0"/>
    <n v="4084"/>
    <n v="4156"/>
    <n v="1"/>
    <s v="Y"/>
    <s v="No"/>
    <n v="12"/>
    <n v="3"/>
    <n v="1"/>
    <n v="80"/>
    <n v="0"/>
    <n v="7"/>
    <n v="2"/>
    <n v="1"/>
    <n v="7"/>
    <n v="2"/>
    <n v="7"/>
    <n v="7"/>
  </r>
  <r>
    <n v="50"/>
    <x v="1"/>
    <x v="1"/>
    <s v="Travel_Frequently"/>
    <n v="333"/>
    <x v="1"/>
    <n v="22"/>
    <n v="5"/>
    <x v="2"/>
    <n v="1"/>
    <n v="1539"/>
    <n v="3"/>
    <x v="1"/>
    <n v="88"/>
    <n v="1"/>
    <n v="4"/>
    <x v="7"/>
    <n v="4"/>
    <x v="0"/>
    <n v="14411"/>
    <n v="24450"/>
    <n v="1"/>
    <s v="Y"/>
    <s v="Yes"/>
    <n v="13"/>
    <n v="3"/>
    <n v="4"/>
    <n v="80"/>
    <n v="0"/>
    <n v="32"/>
    <n v="2"/>
    <n v="3"/>
    <n v="32"/>
    <n v="6"/>
    <n v="13"/>
    <n v="9"/>
  </r>
  <r>
    <n v="34"/>
    <x v="2"/>
    <x v="1"/>
    <s v="Travel_Rarely"/>
    <n v="1440"/>
    <x v="0"/>
    <n v="7"/>
    <n v="2"/>
    <x v="4"/>
    <n v="1"/>
    <n v="1541"/>
    <n v="2"/>
    <x v="1"/>
    <n v="55"/>
    <n v="3"/>
    <n v="1"/>
    <x v="6"/>
    <n v="3"/>
    <x v="1"/>
    <n v="2308"/>
    <n v="4944"/>
    <n v="0"/>
    <s v="Y"/>
    <s v="Yes"/>
    <n v="25"/>
    <n v="4"/>
    <n v="2"/>
    <n v="80"/>
    <n v="1"/>
    <n v="12"/>
    <n v="4"/>
    <n v="3"/>
    <n v="11"/>
    <n v="10"/>
    <n v="5"/>
    <n v="7"/>
  </r>
  <r>
    <n v="42"/>
    <x v="0"/>
    <x v="1"/>
    <s v="Travel_Rarely"/>
    <n v="1210"/>
    <x v="1"/>
    <n v="2"/>
    <n v="3"/>
    <x v="2"/>
    <n v="1"/>
    <n v="1542"/>
    <n v="3"/>
    <x v="1"/>
    <n v="68"/>
    <n v="2"/>
    <n v="1"/>
    <x v="2"/>
    <n v="2"/>
    <x v="1"/>
    <n v="4841"/>
    <n v="24052"/>
    <n v="4"/>
    <s v="Y"/>
    <s v="No"/>
    <n v="14"/>
    <n v="3"/>
    <n v="2"/>
    <n v="80"/>
    <n v="1"/>
    <n v="4"/>
    <n v="3"/>
    <n v="3"/>
    <n v="1"/>
    <n v="0"/>
    <n v="0"/>
    <n v="0"/>
  </r>
  <r>
    <n v="37"/>
    <x v="0"/>
    <x v="1"/>
    <s v="Travel_Rarely"/>
    <n v="674"/>
    <x v="1"/>
    <n v="13"/>
    <n v="3"/>
    <x v="2"/>
    <n v="1"/>
    <n v="1543"/>
    <n v="1"/>
    <x v="1"/>
    <n v="47"/>
    <n v="3"/>
    <n v="2"/>
    <x v="1"/>
    <n v="4"/>
    <x v="1"/>
    <n v="4285"/>
    <n v="3031"/>
    <n v="1"/>
    <s v="Y"/>
    <s v="No"/>
    <n v="17"/>
    <n v="3"/>
    <n v="1"/>
    <n v="80"/>
    <n v="0"/>
    <n v="10"/>
    <n v="2"/>
    <n v="3"/>
    <n v="10"/>
    <n v="8"/>
    <n v="3"/>
    <n v="7"/>
  </r>
  <r>
    <n v="29"/>
    <x v="2"/>
    <x v="1"/>
    <s v="Travel_Rarely"/>
    <n v="441"/>
    <x v="1"/>
    <n v="8"/>
    <n v="1"/>
    <x v="1"/>
    <n v="1"/>
    <n v="1544"/>
    <n v="3"/>
    <x v="0"/>
    <n v="39"/>
    <n v="1"/>
    <n v="2"/>
    <x v="4"/>
    <n v="1"/>
    <x v="1"/>
    <n v="9715"/>
    <n v="7288"/>
    <n v="3"/>
    <s v="Y"/>
    <s v="No"/>
    <n v="13"/>
    <n v="3"/>
    <n v="3"/>
    <n v="80"/>
    <n v="1"/>
    <n v="9"/>
    <n v="3"/>
    <n v="3"/>
    <n v="7"/>
    <n v="7"/>
    <n v="0"/>
    <n v="7"/>
  </r>
  <r>
    <n v="33"/>
    <x v="2"/>
    <x v="1"/>
    <s v="Travel_Rarely"/>
    <n v="575"/>
    <x v="1"/>
    <n v="25"/>
    <n v="3"/>
    <x v="0"/>
    <n v="1"/>
    <n v="1545"/>
    <n v="4"/>
    <x v="1"/>
    <n v="44"/>
    <n v="2"/>
    <n v="2"/>
    <x v="3"/>
    <n v="2"/>
    <x v="0"/>
    <n v="4320"/>
    <n v="24152"/>
    <n v="1"/>
    <s v="Y"/>
    <s v="No"/>
    <n v="13"/>
    <n v="3"/>
    <n v="4"/>
    <n v="80"/>
    <n v="0"/>
    <n v="5"/>
    <n v="2"/>
    <n v="3"/>
    <n v="5"/>
    <n v="3"/>
    <n v="0"/>
    <n v="2"/>
  </r>
  <r>
    <n v="45"/>
    <x v="0"/>
    <x v="1"/>
    <s v="Travel_Rarely"/>
    <n v="950"/>
    <x v="1"/>
    <n v="28"/>
    <n v="3"/>
    <x v="4"/>
    <n v="1"/>
    <n v="1546"/>
    <n v="4"/>
    <x v="1"/>
    <n v="97"/>
    <n v="3"/>
    <n v="1"/>
    <x v="1"/>
    <n v="4"/>
    <x v="1"/>
    <n v="2132"/>
    <n v="4585"/>
    <n v="4"/>
    <s v="Y"/>
    <s v="No"/>
    <n v="20"/>
    <n v="4"/>
    <n v="4"/>
    <n v="80"/>
    <n v="1"/>
    <n v="8"/>
    <n v="3"/>
    <n v="3"/>
    <n v="5"/>
    <n v="4"/>
    <n v="0"/>
    <n v="3"/>
  </r>
  <r>
    <n v="42"/>
    <x v="0"/>
    <x v="1"/>
    <s v="Travel_Frequently"/>
    <n v="288"/>
    <x v="1"/>
    <n v="2"/>
    <n v="3"/>
    <x v="0"/>
    <n v="1"/>
    <n v="1547"/>
    <n v="4"/>
    <x v="1"/>
    <n v="40"/>
    <n v="3"/>
    <n v="3"/>
    <x v="4"/>
    <n v="4"/>
    <x v="1"/>
    <n v="10124"/>
    <n v="18611"/>
    <n v="2"/>
    <s v="Y"/>
    <s v="Yes"/>
    <n v="14"/>
    <n v="3"/>
    <n v="3"/>
    <n v="80"/>
    <n v="1"/>
    <n v="24"/>
    <n v="3"/>
    <n v="1"/>
    <n v="20"/>
    <n v="8"/>
    <n v="13"/>
    <n v="9"/>
  </r>
  <r>
    <n v="40"/>
    <x v="0"/>
    <x v="1"/>
    <s v="Travel_Rarely"/>
    <n v="1342"/>
    <x v="0"/>
    <n v="9"/>
    <n v="2"/>
    <x v="2"/>
    <n v="1"/>
    <n v="1548"/>
    <n v="1"/>
    <x v="1"/>
    <n v="47"/>
    <n v="3"/>
    <n v="2"/>
    <x v="0"/>
    <n v="1"/>
    <x v="1"/>
    <n v="5473"/>
    <n v="19345"/>
    <n v="0"/>
    <s v="Y"/>
    <s v="No"/>
    <n v="12"/>
    <n v="3"/>
    <n v="4"/>
    <n v="80"/>
    <n v="0"/>
    <n v="9"/>
    <n v="5"/>
    <n v="4"/>
    <n v="8"/>
    <n v="4"/>
    <n v="7"/>
    <n v="1"/>
  </r>
  <r>
    <n v="33"/>
    <x v="2"/>
    <x v="1"/>
    <s v="Travel_Rarely"/>
    <n v="589"/>
    <x v="1"/>
    <n v="28"/>
    <n v="4"/>
    <x v="0"/>
    <n v="1"/>
    <n v="1549"/>
    <n v="2"/>
    <x v="1"/>
    <n v="79"/>
    <n v="3"/>
    <n v="2"/>
    <x v="2"/>
    <n v="3"/>
    <x v="1"/>
    <n v="5207"/>
    <n v="22949"/>
    <n v="1"/>
    <s v="Y"/>
    <s v="Yes"/>
    <n v="12"/>
    <n v="3"/>
    <n v="2"/>
    <n v="80"/>
    <n v="1"/>
    <n v="15"/>
    <n v="3"/>
    <n v="3"/>
    <n v="15"/>
    <n v="14"/>
    <n v="5"/>
    <n v="7"/>
  </r>
  <r>
    <n v="40"/>
    <x v="0"/>
    <x v="1"/>
    <s v="Travel_Rarely"/>
    <n v="898"/>
    <x v="2"/>
    <n v="6"/>
    <n v="2"/>
    <x v="2"/>
    <n v="1"/>
    <n v="1550"/>
    <n v="3"/>
    <x v="1"/>
    <n v="38"/>
    <n v="3"/>
    <n v="4"/>
    <x v="5"/>
    <n v="4"/>
    <x v="0"/>
    <n v="16437"/>
    <n v="17381"/>
    <n v="1"/>
    <s v="Y"/>
    <s v="Yes"/>
    <n v="21"/>
    <n v="4"/>
    <n v="4"/>
    <n v="80"/>
    <n v="0"/>
    <n v="21"/>
    <n v="2"/>
    <n v="3"/>
    <n v="21"/>
    <n v="7"/>
    <n v="7"/>
    <n v="7"/>
  </r>
  <r>
    <n v="24"/>
    <x v="3"/>
    <x v="1"/>
    <s v="Travel_Rarely"/>
    <n v="350"/>
    <x v="1"/>
    <n v="21"/>
    <n v="2"/>
    <x v="4"/>
    <n v="1"/>
    <n v="1551"/>
    <n v="3"/>
    <x v="1"/>
    <n v="57"/>
    <n v="2"/>
    <n v="1"/>
    <x v="2"/>
    <n v="1"/>
    <x v="2"/>
    <n v="2296"/>
    <n v="10036"/>
    <n v="0"/>
    <s v="Y"/>
    <s v="No"/>
    <n v="14"/>
    <n v="3"/>
    <n v="2"/>
    <n v="80"/>
    <n v="3"/>
    <n v="2"/>
    <n v="3"/>
    <n v="3"/>
    <n v="1"/>
    <n v="1"/>
    <n v="0"/>
    <n v="0"/>
  </r>
  <r>
    <n v="40"/>
    <x v="0"/>
    <x v="1"/>
    <s v="Non-Travel"/>
    <n v="1142"/>
    <x v="1"/>
    <n v="8"/>
    <n v="2"/>
    <x v="0"/>
    <n v="1"/>
    <n v="1552"/>
    <n v="4"/>
    <x v="1"/>
    <n v="72"/>
    <n v="3"/>
    <n v="2"/>
    <x v="4"/>
    <n v="4"/>
    <x v="2"/>
    <n v="4069"/>
    <n v="8841"/>
    <n v="3"/>
    <s v="Y"/>
    <s v="Yes"/>
    <n v="18"/>
    <n v="3"/>
    <n v="3"/>
    <n v="80"/>
    <n v="0"/>
    <n v="8"/>
    <n v="2"/>
    <n v="3"/>
    <n v="2"/>
    <n v="2"/>
    <n v="2"/>
    <n v="2"/>
  </r>
  <r>
    <n v="45"/>
    <x v="0"/>
    <x v="1"/>
    <s v="Travel_Rarely"/>
    <n v="538"/>
    <x v="1"/>
    <n v="1"/>
    <n v="4"/>
    <x v="4"/>
    <n v="1"/>
    <n v="1553"/>
    <n v="1"/>
    <x v="1"/>
    <n v="66"/>
    <n v="3"/>
    <n v="3"/>
    <x v="4"/>
    <n v="2"/>
    <x v="2"/>
    <n v="7441"/>
    <n v="20933"/>
    <n v="1"/>
    <s v="Y"/>
    <s v="No"/>
    <n v="12"/>
    <n v="3"/>
    <n v="1"/>
    <n v="80"/>
    <n v="3"/>
    <n v="10"/>
    <n v="4"/>
    <n v="3"/>
    <n v="10"/>
    <n v="8"/>
    <n v="7"/>
    <n v="7"/>
  </r>
  <r>
    <n v="35"/>
    <x v="2"/>
    <x v="1"/>
    <s v="Travel_Rarely"/>
    <n v="1402"/>
    <x v="0"/>
    <n v="28"/>
    <n v="4"/>
    <x v="0"/>
    <n v="1"/>
    <n v="1554"/>
    <n v="2"/>
    <x v="0"/>
    <n v="98"/>
    <n v="2"/>
    <n v="1"/>
    <x v="6"/>
    <n v="3"/>
    <x v="1"/>
    <n v="2430"/>
    <n v="26204"/>
    <n v="0"/>
    <s v="Y"/>
    <s v="No"/>
    <n v="23"/>
    <n v="4"/>
    <n v="1"/>
    <n v="80"/>
    <n v="2"/>
    <n v="6"/>
    <n v="5"/>
    <n v="3"/>
    <n v="5"/>
    <n v="3"/>
    <n v="4"/>
    <n v="2"/>
  </r>
  <r>
    <n v="32"/>
    <x v="2"/>
    <x v="1"/>
    <s v="Travel_Rarely"/>
    <n v="824"/>
    <x v="1"/>
    <n v="5"/>
    <n v="2"/>
    <x v="0"/>
    <n v="1"/>
    <n v="1555"/>
    <n v="4"/>
    <x v="0"/>
    <n v="67"/>
    <n v="2"/>
    <n v="2"/>
    <x v="1"/>
    <n v="2"/>
    <x v="1"/>
    <n v="5878"/>
    <n v="15624"/>
    <n v="3"/>
    <s v="Y"/>
    <s v="No"/>
    <n v="12"/>
    <n v="3"/>
    <n v="1"/>
    <n v="80"/>
    <n v="1"/>
    <n v="12"/>
    <n v="2"/>
    <n v="3"/>
    <n v="7"/>
    <n v="1"/>
    <n v="2"/>
    <n v="5"/>
  </r>
  <r>
    <n v="36"/>
    <x v="0"/>
    <x v="1"/>
    <s v="Travel_Rarely"/>
    <n v="1157"/>
    <x v="0"/>
    <n v="2"/>
    <n v="4"/>
    <x v="0"/>
    <n v="1"/>
    <n v="1556"/>
    <n v="3"/>
    <x v="1"/>
    <n v="70"/>
    <n v="3"/>
    <n v="1"/>
    <x v="6"/>
    <n v="4"/>
    <x v="0"/>
    <n v="2644"/>
    <n v="17001"/>
    <n v="3"/>
    <s v="Y"/>
    <s v="Yes"/>
    <n v="21"/>
    <n v="4"/>
    <n v="4"/>
    <n v="80"/>
    <n v="0"/>
    <n v="7"/>
    <n v="3"/>
    <n v="2"/>
    <n v="3"/>
    <n v="2"/>
    <n v="1"/>
    <n v="2"/>
  </r>
  <r>
    <n v="48"/>
    <x v="1"/>
    <x v="1"/>
    <s v="Travel_Rarely"/>
    <n v="492"/>
    <x v="0"/>
    <n v="16"/>
    <n v="4"/>
    <x v="0"/>
    <n v="1"/>
    <n v="1557"/>
    <n v="3"/>
    <x v="0"/>
    <n v="96"/>
    <n v="3"/>
    <n v="2"/>
    <x v="0"/>
    <n v="3"/>
    <x v="2"/>
    <n v="6439"/>
    <n v="13693"/>
    <n v="8"/>
    <s v="Y"/>
    <s v="No"/>
    <n v="14"/>
    <n v="3"/>
    <n v="3"/>
    <n v="80"/>
    <n v="1"/>
    <n v="18"/>
    <n v="2"/>
    <n v="3"/>
    <n v="8"/>
    <n v="7"/>
    <n v="7"/>
    <n v="7"/>
  </r>
  <r>
    <n v="29"/>
    <x v="2"/>
    <x v="1"/>
    <s v="Travel_Rarely"/>
    <n v="598"/>
    <x v="1"/>
    <n v="9"/>
    <n v="3"/>
    <x v="0"/>
    <n v="1"/>
    <n v="1558"/>
    <n v="3"/>
    <x v="1"/>
    <n v="91"/>
    <n v="4"/>
    <n v="1"/>
    <x v="1"/>
    <n v="3"/>
    <x v="1"/>
    <n v="2451"/>
    <n v="22376"/>
    <n v="6"/>
    <s v="Y"/>
    <s v="No"/>
    <n v="18"/>
    <n v="3"/>
    <n v="1"/>
    <n v="80"/>
    <n v="2"/>
    <n v="5"/>
    <n v="2"/>
    <n v="2"/>
    <n v="1"/>
    <n v="0"/>
    <n v="0"/>
    <n v="0"/>
  </r>
  <r>
    <n v="33"/>
    <x v="2"/>
    <x v="1"/>
    <s v="Travel_Rarely"/>
    <n v="1242"/>
    <x v="0"/>
    <n v="8"/>
    <n v="4"/>
    <x v="0"/>
    <n v="1"/>
    <n v="1560"/>
    <n v="1"/>
    <x v="1"/>
    <n v="46"/>
    <n v="3"/>
    <n v="2"/>
    <x v="0"/>
    <n v="1"/>
    <x v="1"/>
    <n v="6392"/>
    <n v="10589"/>
    <n v="2"/>
    <s v="Y"/>
    <s v="No"/>
    <n v="13"/>
    <n v="3"/>
    <n v="4"/>
    <n v="80"/>
    <n v="1"/>
    <n v="8"/>
    <n v="6"/>
    <n v="1"/>
    <n v="2"/>
    <n v="2"/>
    <n v="2"/>
    <n v="2"/>
  </r>
  <r>
    <n v="30"/>
    <x v="2"/>
    <x v="0"/>
    <s v="Travel_Rarely"/>
    <n v="740"/>
    <x v="0"/>
    <n v="1"/>
    <n v="3"/>
    <x v="0"/>
    <n v="1"/>
    <n v="1562"/>
    <n v="2"/>
    <x v="1"/>
    <n v="64"/>
    <n v="2"/>
    <n v="2"/>
    <x v="0"/>
    <n v="1"/>
    <x v="1"/>
    <n v="9714"/>
    <n v="5323"/>
    <n v="1"/>
    <s v="Y"/>
    <s v="No"/>
    <n v="11"/>
    <n v="3"/>
    <n v="4"/>
    <n v="80"/>
    <n v="1"/>
    <n v="10"/>
    <n v="4"/>
    <n v="3"/>
    <n v="10"/>
    <n v="8"/>
    <n v="6"/>
    <n v="7"/>
  </r>
  <r>
    <n v="38"/>
    <x v="0"/>
    <x v="1"/>
    <s v="Travel_Frequently"/>
    <n v="888"/>
    <x v="2"/>
    <n v="10"/>
    <n v="4"/>
    <x v="5"/>
    <n v="1"/>
    <n v="1563"/>
    <n v="3"/>
    <x v="1"/>
    <n v="71"/>
    <n v="3"/>
    <n v="2"/>
    <x v="8"/>
    <n v="3"/>
    <x v="1"/>
    <n v="6077"/>
    <n v="14814"/>
    <n v="3"/>
    <s v="Y"/>
    <s v="No"/>
    <n v="11"/>
    <n v="3"/>
    <n v="3"/>
    <n v="80"/>
    <n v="0"/>
    <n v="10"/>
    <n v="2"/>
    <n v="3"/>
    <n v="6"/>
    <n v="3"/>
    <n v="1"/>
    <n v="2"/>
  </r>
  <r>
    <n v="35"/>
    <x v="2"/>
    <x v="1"/>
    <s v="Travel_Rarely"/>
    <n v="992"/>
    <x v="1"/>
    <n v="1"/>
    <n v="3"/>
    <x v="2"/>
    <n v="1"/>
    <n v="1564"/>
    <n v="4"/>
    <x v="1"/>
    <n v="68"/>
    <n v="2"/>
    <n v="1"/>
    <x v="2"/>
    <n v="1"/>
    <x v="0"/>
    <n v="2450"/>
    <n v="21731"/>
    <n v="1"/>
    <s v="Y"/>
    <s v="No"/>
    <n v="19"/>
    <n v="3"/>
    <n v="2"/>
    <n v="80"/>
    <n v="0"/>
    <n v="3"/>
    <n v="3"/>
    <n v="3"/>
    <n v="3"/>
    <n v="0"/>
    <n v="1"/>
    <n v="2"/>
  </r>
  <r>
    <n v="30"/>
    <x v="2"/>
    <x v="1"/>
    <s v="Travel_Rarely"/>
    <n v="1288"/>
    <x v="0"/>
    <n v="29"/>
    <n v="4"/>
    <x v="4"/>
    <n v="1"/>
    <n v="1568"/>
    <n v="3"/>
    <x v="1"/>
    <n v="33"/>
    <n v="3"/>
    <n v="3"/>
    <x v="0"/>
    <n v="2"/>
    <x v="1"/>
    <n v="9250"/>
    <n v="17799"/>
    <n v="3"/>
    <s v="Y"/>
    <s v="No"/>
    <n v="12"/>
    <n v="3"/>
    <n v="2"/>
    <n v="80"/>
    <n v="1"/>
    <n v="9"/>
    <n v="3"/>
    <n v="3"/>
    <n v="4"/>
    <n v="2"/>
    <n v="1"/>
    <n v="3"/>
  </r>
  <r>
    <n v="35"/>
    <x v="2"/>
    <x v="0"/>
    <s v="Travel_Rarely"/>
    <n v="104"/>
    <x v="1"/>
    <n v="2"/>
    <n v="3"/>
    <x v="0"/>
    <n v="1"/>
    <n v="1569"/>
    <n v="1"/>
    <x v="0"/>
    <n v="69"/>
    <n v="3"/>
    <n v="1"/>
    <x v="2"/>
    <n v="1"/>
    <x v="2"/>
    <n v="2074"/>
    <n v="26619"/>
    <n v="1"/>
    <s v="Y"/>
    <s v="Yes"/>
    <n v="12"/>
    <n v="3"/>
    <n v="4"/>
    <n v="80"/>
    <n v="1"/>
    <n v="1"/>
    <n v="2"/>
    <n v="3"/>
    <n v="1"/>
    <n v="0"/>
    <n v="0"/>
    <n v="0"/>
  </r>
  <r>
    <n v="53"/>
    <x v="1"/>
    <x v="0"/>
    <s v="Travel_Rarely"/>
    <n v="607"/>
    <x v="1"/>
    <n v="2"/>
    <n v="5"/>
    <x v="4"/>
    <n v="1"/>
    <n v="1572"/>
    <n v="3"/>
    <x v="0"/>
    <n v="78"/>
    <n v="2"/>
    <n v="3"/>
    <x v="3"/>
    <n v="4"/>
    <x v="1"/>
    <n v="10169"/>
    <n v="14618"/>
    <n v="0"/>
    <s v="Y"/>
    <s v="No"/>
    <n v="16"/>
    <n v="3"/>
    <n v="2"/>
    <n v="80"/>
    <n v="1"/>
    <n v="34"/>
    <n v="4"/>
    <n v="3"/>
    <n v="33"/>
    <n v="7"/>
    <n v="1"/>
    <n v="9"/>
  </r>
  <r>
    <n v="38"/>
    <x v="0"/>
    <x v="0"/>
    <s v="Travel_Rarely"/>
    <n v="903"/>
    <x v="1"/>
    <n v="2"/>
    <n v="3"/>
    <x v="2"/>
    <n v="1"/>
    <n v="1573"/>
    <n v="3"/>
    <x v="1"/>
    <n v="81"/>
    <n v="3"/>
    <n v="2"/>
    <x v="3"/>
    <n v="2"/>
    <x v="1"/>
    <n v="4855"/>
    <n v="7653"/>
    <n v="4"/>
    <s v="Y"/>
    <s v="No"/>
    <n v="11"/>
    <n v="3"/>
    <n v="1"/>
    <n v="80"/>
    <n v="2"/>
    <n v="7"/>
    <n v="2"/>
    <n v="3"/>
    <n v="5"/>
    <n v="2"/>
    <n v="1"/>
    <n v="4"/>
  </r>
  <r>
    <n v="32"/>
    <x v="2"/>
    <x v="1"/>
    <s v="Non-Travel"/>
    <n v="1200"/>
    <x v="1"/>
    <n v="1"/>
    <n v="4"/>
    <x v="4"/>
    <n v="1"/>
    <n v="1574"/>
    <n v="4"/>
    <x v="1"/>
    <n v="62"/>
    <n v="3"/>
    <n v="2"/>
    <x v="1"/>
    <n v="1"/>
    <x v="1"/>
    <n v="4087"/>
    <n v="25174"/>
    <n v="4"/>
    <s v="Y"/>
    <s v="No"/>
    <n v="14"/>
    <n v="3"/>
    <n v="2"/>
    <n v="80"/>
    <n v="1"/>
    <n v="9"/>
    <n v="3"/>
    <n v="2"/>
    <n v="6"/>
    <n v="5"/>
    <n v="1"/>
    <n v="2"/>
  </r>
  <r>
    <n v="48"/>
    <x v="1"/>
    <x v="1"/>
    <s v="Travel_Rarely"/>
    <n v="1108"/>
    <x v="1"/>
    <n v="15"/>
    <n v="4"/>
    <x v="1"/>
    <n v="1"/>
    <n v="1576"/>
    <n v="3"/>
    <x v="0"/>
    <n v="65"/>
    <n v="3"/>
    <n v="1"/>
    <x v="1"/>
    <n v="1"/>
    <x v="1"/>
    <n v="2367"/>
    <n v="16530"/>
    <n v="8"/>
    <s v="Y"/>
    <s v="No"/>
    <n v="12"/>
    <n v="3"/>
    <n v="4"/>
    <n v="80"/>
    <n v="1"/>
    <n v="10"/>
    <n v="3"/>
    <n v="2"/>
    <n v="8"/>
    <n v="2"/>
    <n v="7"/>
    <n v="6"/>
  </r>
  <r>
    <n v="34"/>
    <x v="2"/>
    <x v="1"/>
    <s v="Travel_Rarely"/>
    <n v="479"/>
    <x v="1"/>
    <n v="7"/>
    <n v="4"/>
    <x v="2"/>
    <n v="1"/>
    <n v="1577"/>
    <n v="1"/>
    <x v="1"/>
    <n v="35"/>
    <n v="3"/>
    <n v="1"/>
    <x v="1"/>
    <n v="4"/>
    <x v="0"/>
    <n v="2972"/>
    <n v="22061"/>
    <n v="1"/>
    <s v="Y"/>
    <s v="No"/>
    <n v="13"/>
    <n v="3"/>
    <n v="3"/>
    <n v="80"/>
    <n v="0"/>
    <n v="1"/>
    <n v="4"/>
    <n v="1"/>
    <n v="1"/>
    <n v="0"/>
    <n v="0"/>
    <n v="0"/>
  </r>
  <r>
    <n v="55"/>
    <x v="1"/>
    <x v="1"/>
    <s v="Travel_Rarely"/>
    <n v="685"/>
    <x v="0"/>
    <n v="26"/>
    <n v="5"/>
    <x v="3"/>
    <n v="1"/>
    <n v="1578"/>
    <n v="3"/>
    <x v="1"/>
    <n v="60"/>
    <n v="2"/>
    <n v="5"/>
    <x v="5"/>
    <n v="4"/>
    <x v="1"/>
    <n v="19586"/>
    <n v="23037"/>
    <n v="1"/>
    <s v="Y"/>
    <s v="No"/>
    <n v="21"/>
    <n v="4"/>
    <n v="3"/>
    <n v="80"/>
    <n v="1"/>
    <n v="36"/>
    <n v="3"/>
    <n v="3"/>
    <n v="36"/>
    <n v="6"/>
    <n v="2"/>
    <n v="13"/>
  </r>
  <r>
    <n v="34"/>
    <x v="2"/>
    <x v="1"/>
    <s v="Travel_Rarely"/>
    <n v="1351"/>
    <x v="1"/>
    <n v="1"/>
    <n v="4"/>
    <x v="0"/>
    <n v="1"/>
    <n v="1580"/>
    <n v="2"/>
    <x v="1"/>
    <n v="45"/>
    <n v="3"/>
    <n v="2"/>
    <x v="1"/>
    <n v="4"/>
    <x v="1"/>
    <n v="5484"/>
    <n v="13008"/>
    <n v="9"/>
    <s v="Y"/>
    <s v="No"/>
    <n v="17"/>
    <n v="3"/>
    <n v="2"/>
    <n v="80"/>
    <n v="1"/>
    <n v="9"/>
    <n v="3"/>
    <n v="2"/>
    <n v="2"/>
    <n v="2"/>
    <n v="2"/>
    <n v="1"/>
  </r>
  <r>
    <n v="26"/>
    <x v="2"/>
    <x v="1"/>
    <s v="Travel_Rarely"/>
    <n v="474"/>
    <x v="1"/>
    <n v="3"/>
    <n v="3"/>
    <x v="0"/>
    <n v="1"/>
    <n v="1581"/>
    <n v="1"/>
    <x v="0"/>
    <n v="89"/>
    <n v="3"/>
    <n v="1"/>
    <x v="1"/>
    <n v="4"/>
    <x v="1"/>
    <n v="2061"/>
    <n v="11133"/>
    <n v="1"/>
    <s v="Y"/>
    <s v="No"/>
    <n v="21"/>
    <n v="4"/>
    <n v="1"/>
    <n v="80"/>
    <n v="0"/>
    <n v="1"/>
    <n v="5"/>
    <n v="3"/>
    <n v="1"/>
    <n v="0"/>
    <n v="0"/>
    <n v="0"/>
  </r>
  <r>
    <n v="38"/>
    <x v="0"/>
    <x v="1"/>
    <s v="Travel_Rarely"/>
    <n v="1245"/>
    <x v="0"/>
    <n v="14"/>
    <n v="3"/>
    <x v="0"/>
    <n v="1"/>
    <n v="1582"/>
    <n v="3"/>
    <x v="1"/>
    <n v="80"/>
    <n v="3"/>
    <n v="2"/>
    <x v="0"/>
    <n v="2"/>
    <x v="1"/>
    <n v="9924"/>
    <n v="12355"/>
    <n v="0"/>
    <s v="Y"/>
    <s v="No"/>
    <n v="11"/>
    <n v="3"/>
    <n v="4"/>
    <n v="80"/>
    <n v="1"/>
    <n v="10"/>
    <n v="3"/>
    <n v="3"/>
    <n v="9"/>
    <n v="8"/>
    <n v="7"/>
    <n v="7"/>
  </r>
  <r>
    <n v="38"/>
    <x v="0"/>
    <x v="1"/>
    <s v="Travel_Rarely"/>
    <n v="437"/>
    <x v="0"/>
    <n v="16"/>
    <n v="3"/>
    <x v="0"/>
    <n v="1"/>
    <n v="1583"/>
    <n v="2"/>
    <x v="0"/>
    <n v="90"/>
    <n v="3"/>
    <n v="2"/>
    <x v="0"/>
    <n v="2"/>
    <x v="0"/>
    <n v="4198"/>
    <n v="16379"/>
    <n v="2"/>
    <s v="Y"/>
    <s v="No"/>
    <n v="12"/>
    <n v="3"/>
    <n v="2"/>
    <n v="80"/>
    <n v="0"/>
    <n v="8"/>
    <n v="5"/>
    <n v="4"/>
    <n v="3"/>
    <n v="2"/>
    <n v="1"/>
    <n v="2"/>
  </r>
  <r>
    <n v="36"/>
    <x v="0"/>
    <x v="1"/>
    <s v="Travel_Rarely"/>
    <n v="884"/>
    <x v="0"/>
    <n v="1"/>
    <n v="4"/>
    <x v="0"/>
    <n v="1"/>
    <n v="1585"/>
    <n v="2"/>
    <x v="0"/>
    <n v="73"/>
    <n v="3"/>
    <n v="2"/>
    <x v="0"/>
    <n v="3"/>
    <x v="0"/>
    <n v="6815"/>
    <n v="21447"/>
    <n v="6"/>
    <s v="Y"/>
    <s v="No"/>
    <n v="13"/>
    <n v="3"/>
    <n v="1"/>
    <n v="80"/>
    <n v="0"/>
    <n v="15"/>
    <n v="5"/>
    <n v="3"/>
    <n v="1"/>
    <n v="0"/>
    <n v="0"/>
    <n v="0"/>
  </r>
  <r>
    <n v="29"/>
    <x v="2"/>
    <x v="1"/>
    <s v="Travel_Rarely"/>
    <n v="1370"/>
    <x v="1"/>
    <n v="3"/>
    <n v="1"/>
    <x v="2"/>
    <n v="1"/>
    <n v="1586"/>
    <n v="2"/>
    <x v="1"/>
    <n v="87"/>
    <n v="3"/>
    <n v="1"/>
    <x v="2"/>
    <n v="1"/>
    <x v="0"/>
    <n v="4723"/>
    <n v="16213"/>
    <n v="1"/>
    <s v="Y"/>
    <s v="Yes"/>
    <n v="18"/>
    <n v="3"/>
    <n v="4"/>
    <n v="80"/>
    <n v="0"/>
    <n v="10"/>
    <n v="3"/>
    <n v="3"/>
    <n v="10"/>
    <n v="9"/>
    <n v="1"/>
    <n v="5"/>
  </r>
  <r>
    <n v="35"/>
    <x v="2"/>
    <x v="1"/>
    <s v="Travel_Rarely"/>
    <n v="670"/>
    <x v="1"/>
    <n v="10"/>
    <n v="4"/>
    <x v="2"/>
    <n v="1"/>
    <n v="1587"/>
    <n v="1"/>
    <x v="0"/>
    <n v="51"/>
    <n v="3"/>
    <n v="2"/>
    <x v="4"/>
    <n v="3"/>
    <x v="0"/>
    <n v="6142"/>
    <n v="4223"/>
    <n v="3"/>
    <s v="Y"/>
    <s v="Yes"/>
    <n v="16"/>
    <n v="3"/>
    <n v="3"/>
    <n v="80"/>
    <n v="0"/>
    <n v="10"/>
    <n v="4"/>
    <n v="3"/>
    <n v="5"/>
    <n v="2"/>
    <n v="0"/>
    <n v="4"/>
  </r>
  <r>
    <n v="39"/>
    <x v="0"/>
    <x v="1"/>
    <s v="Travel_Rarely"/>
    <n v="1462"/>
    <x v="0"/>
    <n v="6"/>
    <n v="3"/>
    <x v="2"/>
    <n v="1"/>
    <n v="1588"/>
    <n v="4"/>
    <x v="1"/>
    <n v="38"/>
    <n v="4"/>
    <n v="3"/>
    <x v="0"/>
    <n v="3"/>
    <x v="1"/>
    <n v="8237"/>
    <n v="4658"/>
    <n v="2"/>
    <s v="Y"/>
    <s v="No"/>
    <n v="11"/>
    <n v="3"/>
    <n v="1"/>
    <n v="80"/>
    <n v="1"/>
    <n v="11"/>
    <n v="3"/>
    <n v="3"/>
    <n v="7"/>
    <n v="6"/>
    <n v="7"/>
    <n v="6"/>
  </r>
  <r>
    <n v="29"/>
    <x v="2"/>
    <x v="1"/>
    <s v="Travel_Frequently"/>
    <n v="995"/>
    <x v="1"/>
    <n v="2"/>
    <n v="1"/>
    <x v="0"/>
    <n v="1"/>
    <n v="1590"/>
    <n v="1"/>
    <x v="1"/>
    <n v="87"/>
    <n v="3"/>
    <n v="2"/>
    <x v="4"/>
    <n v="4"/>
    <x v="2"/>
    <n v="8853"/>
    <n v="24483"/>
    <n v="1"/>
    <s v="Y"/>
    <s v="No"/>
    <n v="19"/>
    <n v="3"/>
    <n v="4"/>
    <n v="80"/>
    <n v="1"/>
    <n v="6"/>
    <n v="0"/>
    <n v="4"/>
    <n v="6"/>
    <n v="4"/>
    <n v="1"/>
    <n v="3"/>
  </r>
  <r>
    <n v="50"/>
    <x v="1"/>
    <x v="1"/>
    <s v="Travel_Rarely"/>
    <n v="264"/>
    <x v="0"/>
    <n v="9"/>
    <n v="3"/>
    <x v="3"/>
    <n v="1"/>
    <n v="1591"/>
    <n v="3"/>
    <x v="1"/>
    <n v="59"/>
    <n v="3"/>
    <n v="5"/>
    <x v="5"/>
    <n v="3"/>
    <x v="1"/>
    <n v="19331"/>
    <n v="19519"/>
    <n v="4"/>
    <s v="Y"/>
    <s v="Yes"/>
    <n v="16"/>
    <n v="3"/>
    <n v="3"/>
    <n v="80"/>
    <n v="1"/>
    <n v="27"/>
    <n v="2"/>
    <n v="3"/>
    <n v="1"/>
    <n v="0"/>
    <n v="0"/>
    <n v="0"/>
  </r>
  <r>
    <n v="23"/>
    <x v="3"/>
    <x v="1"/>
    <s v="Travel_Rarely"/>
    <n v="977"/>
    <x v="1"/>
    <n v="10"/>
    <n v="3"/>
    <x v="4"/>
    <n v="1"/>
    <n v="1592"/>
    <n v="4"/>
    <x v="1"/>
    <n v="45"/>
    <n v="4"/>
    <n v="1"/>
    <x v="1"/>
    <n v="3"/>
    <x v="1"/>
    <n v="2073"/>
    <n v="12826"/>
    <n v="2"/>
    <s v="Y"/>
    <s v="No"/>
    <n v="16"/>
    <n v="3"/>
    <n v="4"/>
    <n v="80"/>
    <n v="1"/>
    <n v="4"/>
    <n v="2"/>
    <n v="3"/>
    <n v="2"/>
    <n v="2"/>
    <n v="2"/>
    <n v="2"/>
  </r>
  <r>
    <n v="36"/>
    <x v="0"/>
    <x v="1"/>
    <s v="Travel_Frequently"/>
    <n v="1302"/>
    <x v="1"/>
    <n v="6"/>
    <n v="4"/>
    <x v="0"/>
    <n v="1"/>
    <n v="1594"/>
    <n v="1"/>
    <x v="1"/>
    <n v="80"/>
    <n v="4"/>
    <n v="2"/>
    <x v="2"/>
    <n v="1"/>
    <x v="1"/>
    <n v="5562"/>
    <n v="19711"/>
    <n v="3"/>
    <s v="Y"/>
    <s v="Yes"/>
    <n v="13"/>
    <n v="3"/>
    <n v="4"/>
    <n v="80"/>
    <n v="1"/>
    <n v="9"/>
    <n v="3"/>
    <n v="3"/>
    <n v="3"/>
    <n v="2"/>
    <n v="0"/>
    <n v="2"/>
  </r>
  <r>
    <n v="42"/>
    <x v="0"/>
    <x v="1"/>
    <s v="Travel_Rarely"/>
    <n v="1059"/>
    <x v="1"/>
    <n v="9"/>
    <n v="2"/>
    <x v="1"/>
    <n v="1"/>
    <n v="1595"/>
    <n v="4"/>
    <x v="1"/>
    <n v="93"/>
    <n v="2"/>
    <n v="5"/>
    <x v="5"/>
    <n v="4"/>
    <x v="0"/>
    <n v="19613"/>
    <n v="26362"/>
    <n v="8"/>
    <s v="Y"/>
    <s v="No"/>
    <n v="22"/>
    <n v="4"/>
    <n v="4"/>
    <n v="80"/>
    <n v="0"/>
    <n v="24"/>
    <n v="2"/>
    <n v="3"/>
    <n v="1"/>
    <n v="0"/>
    <n v="0"/>
    <n v="1"/>
  </r>
  <r>
    <n v="35"/>
    <x v="2"/>
    <x v="1"/>
    <s v="Travel_Rarely"/>
    <n v="750"/>
    <x v="1"/>
    <n v="28"/>
    <n v="3"/>
    <x v="0"/>
    <n v="1"/>
    <n v="1596"/>
    <n v="2"/>
    <x v="1"/>
    <n v="46"/>
    <n v="4"/>
    <n v="2"/>
    <x v="2"/>
    <n v="3"/>
    <x v="1"/>
    <n v="3407"/>
    <n v="25348"/>
    <n v="1"/>
    <s v="Y"/>
    <s v="No"/>
    <n v="17"/>
    <n v="3"/>
    <n v="4"/>
    <n v="80"/>
    <n v="2"/>
    <n v="10"/>
    <n v="3"/>
    <n v="2"/>
    <n v="10"/>
    <n v="9"/>
    <n v="6"/>
    <n v="8"/>
  </r>
  <r>
    <n v="34"/>
    <x v="2"/>
    <x v="1"/>
    <s v="Travel_Frequently"/>
    <n v="653"/>
    <x v="1"/>
    <n v="10"/>
    <n v="4"/>
    <x v="4"/>
    <n v="1"/>
    <n v="1597"/>
    <n v="4"/>
    <x v="1"/>
    <n v="92"/>
    <n v="2"/>
    <n v="2"/>
    <x v="4"/>
    <n v="3"/>
    <x v="1"/>
    <n v="5063"/>
    <n v="15332"/>
    <n v="1"/>
    <s v="Y"/>
    <s v="No"/>
    <n v="14"/>
    <n v="3"/>
    <n v="2"/>
    <n v="80"/>
    <n v="1"/>
    <n v="8"/>
    <n v="3"/>
    <n v="2"/>
    <n v="8"/>
    <n v="2"/>
    <n v="7"/>
    <n v="7"/>
  </r>
  <r>
    <n v="40"/>
    <x v="0"/>
    <x v="1"/>
    <s v="Travel_Rarely"/>
    <n v="118"/>
    <x v="0"/>
    <n v="14"/>
    <n v="2"/>
    <x v="0"/>
    <n v="1"/>
    <n v="1598"/>
    <n v="4"/>
    <x v="0"/>
    <n v="84"/>
    <n v="3"/>
    <n v="2"/>
    <x v="0"/>
    <n v="1"/>
    <x v="1"/>
    <n v="4639"/>
    <n v="11262"/>
    <n v="1"/>
    <s v="Y"/>
    <s v="No"/>
    <n v="15"/>
    <n v="3"/>
    <n v="3"/>
    <n v="80"/>
    <n v="1"/>
    <n v="5"/>
    <n v="2"/>
    <n v="3"/>
    <n v="5"/>
    <n v="4"/>
    <n v="1"/>
    <n v="2"/>
  </r>
  <r>
    <n v="43"/>
    <x v="0"/>
    <x v="1"/>
    <s v="Travel_Rarely"/>
    <n v="990"/>
    <x v="1"/>
    <n v="27"/>
    <n v="3"/>
    <x v="4"/>
    <n v="1"/>
    <n v="1599"/>
    <n v="4"/>
    <x v="1"/>
    <n v="87"/>
    <n v="4"/>
    <n v="1"/>
    <x v="2"/>
    <n v="2"/>
    <x v="2"/>
    <n v="4876"/>
    <n v="5855"/>
    <n v="5"/>
    <s v="Y"/>
    <s v="No"/>
    <n v="12"/>
    <n v="3"/>
    <n v="3"/>
    <n v="80"/>
    <n v="1"/>
    <n v="8"/>
    <n v="0"/>
    <n v="3"/>
    <n v="6"/>
    <n v="4"/>
    <n v="0"/>
    <n v="2"/>
  </r>
  <r>
    <n v="35"/>
    <x v="2"/>
    <x v="1"/>
    <s v="Travel_Rarely"/>
    <n v="1349"/>
    <x v="1"/>
    <n v="7"/>
    <n v="2"/>
    <x v="0"/>
    <n v="1"/>
    <n v="1601"/>
    <n v="3"/>
    <x v="1"/>
    <n v="63"/>
    <n v="2"/>
    <n v="1"/>
    <x v="2"/>
    <n v="4"/>
    <x v="1"/>
    <n v="2690"/>
    <n v="7713"/>
    <n v="1"/>
    <s v="Y"/>
    <s v="No"/>
    <n v="18"/>
    <n v="3"/>
    <n v="4"/>
    <n v="80"/>
    <n v="1"/>
    <n v="1"/>
    <n v="5"/>
    <n v="2"/>
    <n v="1"/>
    <n v="0"/>
    <n v="0"/>
    <n v="1"/>
  </r>
  <r>
    <n v="46"/>
    <x v="1"/>
    <x v="1"/>
    <s v="Travel_Rarely"/>
    <n v="563"/>
    <x v="0"/>
    <n v="1"/>
    <n v="4"/>
    <x v="0"/>
    <n v="1"/>
    <n v="1602"/>
    <n v="4"/>
    <x v="1"/>
    <n v="56"/>
    <n v="4"/>
    <n v="4"/>
    <x v="5"/>
    <n v="1"/>
    <x v="0"/>
    <n v="17567"/>
    <n v="3156"/>
    <n v="1"/>
    <s v="Y"/>
    <s v="No"/>
    <n v="15"/>
    <n v="3"/>
    <n v="2"/>
    <n v="80"/>
    <n v="0"/>
    <n v="27"/>
    <n v="5"/>
    <n v="1"/>
    <n v="26"/>
    <n v="0"/>
    <n v="0"/>
    <n v="12"/>
  </r>
  <r>
    <n v="28"/>
    <x v="2"/>
    <x v="0"/>
    <s v="Travel_Rarely"/>
    <n v="329"/>
    <x v="1"/>
    <n v="24"/>
    <n v="3"/>
    <x v="2"/>
    <n v="1"/>
    <n v="1604"/>
    <n v="3"/>
    <x v="1"/>
    <n v="51"/>
    <n v="3"/>
    <n v="1"/>
    <x v="2"/>
    <n v="2"/>
    <x v="1"/>
    <n v="2408"/>
    <n v="7324"/>
    <n v="1"/>
    <s v="Y"/>
    <s v="Yes"/>
    <n v="17"/>
    <n v="3"/>
    <n v="3"/>
    <n v="80"/>
    <n v="3"/>
    <n v="1"/>
    <n v="3"/>
    <n v="3"/>
    <n v="1"/>
    <n v="1"/>
    <n v="0"/>
    <n v="0"/>
  </r>
  <r>
    <n v="22"/>
    <x v="3"/>
    <x v="1"/>
    <s v="Non-Travel"/>
    <n v="457"/>
    <x v="1"/>
    <n v="26"/>
    <n v="2"/>
    <x v="1"/>
    <n v="1"/>
    <n v="1605"/>
    <n v="2"/>
    <x v="0"/>
    <n v="85"/>
    <n v="2"/>
    <n v="1"/>
    <x v="1"/>
    <n v="3"/>
    <x v="1"/>
    <n v="2814"/>
    <n v="10293"/>
    <n v="1"/>
    <s v="Y"/>
    <s v="Yes"/>
    <n v="14"/>
    <n v="3"/>
    <n v="2"/>
    <n v="80"/>
    <n v="0"/>
    <n v="4"/>
    <n v="2"/>
    <n v="2"/>
    <n v="4"/>
    <n v="2"/>
    <n v="1"/>
    <n v="3"/>
  </r>
  <r>
    <n v="50"/>
    <x v="1"/>
    <x v="1"/>
    <s v="Travel_Frequently"/>
    <n v="1234"/>
    <x v="1"/>
    <n v="20"/>
    <n v="5"/>
    <x v="2"/>
    <n v="1"/>
    <n v="1606"/>
    <n v="2"/>
    <x v="1"/>
    <n v="41"/>
    <n v="3"/>
    <n v="4"/>
    <x v="4"/>
    <n v="3"/>
    <x v="1"/>
    <n v="11245"/>
    <n v="20689"/>
    <n v="2"/>
    <s v="Y"/>
    <s v="Yes"/>
    <n v="15"/>
    <n v="3"/>
    <n v="3"/>
    <n v="80"/>
    <n v="1"/>
    <n v="32"/>
    <n v="3"/>
    <n v="3"/>
    <n v="30"/>
    <n v="8"/>
    <n v="12"/>
    <n v="13"/>
  </r>
  <r>
    <n v="32"/>
    <x v="2"/>
    <x v="1"/>
    <s v="Travel_Rarely"/>
    <n v="634"/>
    <x v="1"/>
    <n v="5"/>
    <n v="4"/>
    <x v="1"/>
    <n v="1"/>
    <n v="1607"/>
    <n v="2"/>
    <x v="0"/>
    <n v="35"/>
    <n v="4"/>
    <n v="1"/>
    <x v="1"/>
    <n v="4"/>
    <x v="1"/>
    <n v="3312"/>
    <n v="18783"/>
    <n v="3"/>
    <s v="Y"/>
    <s v="No"/>
    <n v="17"/>
    <n v="3"/>
    <n v="4"/>
    <n v="80"/>
    <n v="2"/>
    <n v="6"/>
    <n v="3"/>
    <n v="3"/>
    <n v="3"/>
    <n v="2"/>
    <n v="0"/>
    <n v="2"/>
  </r>
  <r>
    <n v="44"/>
    <x v="0"/>
    <x v="1"/>
    <s v="Travel_Rarely"/>
    <n v="1313"/>
    <x v="1"/>
    <n v="7"/>
    <n v="3"/>
    <x v="2"/>
    <n v="1"/>
    <n v="1608"/>
    <n v="2"/>
    <x v="0"/>
    <n v="31"/>
    <n v="3"/>
    <n v="5"/>
    <x v="7"/>
    <n v="4"/>
    <x v="2"/>
    <n v="19049"/>
    <n v="3549"/>
    <n v="0"/>
    <s v="Y"/>
    <s v="Yes"/>
    <n v="14"/>
    <n v="3"/>
    <n v="4"/>
    <n v="80"/>
    <n v="1"/>
    <n v="23"/>
    <n v="4"/>
    <n v="2"/>
    <n v="22"/>
    <n v="7"/>
    <n v="1"/>
    <n v="10"/>
  </r>
  <r>
    <n v="30"/>
    <x v="2"/>
    <x v="1"/>
    <s v="Travel_Rarely"/>
    <n v="241"/>
    <x v="1"/>
    <n v="7"/>
    <n v="3"/>
    <x v="2"/>
    <n v="1"/>
    <n v="1609"/>
    <n v="2"/>
    <x v="1"/>
    <n v="48"/>
    <n v="2"/>
    <n v="1"/>
    <x v="1"/>
    <n v="2"/>
    <x v="1"/>
    <n v="2141"/>
    <n v="5348"/>
    <n v="1"/>
    <s v="Y"/>
    <s v="No"/>
    <n v="12"/>
    <n v="3"/>
    <n v="2"/>
    <n v="80"/>
    <n v="1"/>
    <n v="6"/>
    <n v="3"/>
    <n v="2"/>
    <n v="6"/>
    <n v="4"/>
    <n v="1"/>
    <n v="1"/>
  </r>
  <r>
    <n v="45"/>
    <x v="0"/>
    <x v="1"/>
    <s v="Travel_Rarely"/>
    <n v="1015"/>
    <x v="1"/>
    <n v="5"/>
    <n v="5"/>
    <x v="2"/>
    <n v="1"/>
    <n v="1611"/>
    <n v="3"/>
    <x v="0"/>
    <n v="50"/>
    <n v="1"/>
    <n v="2"/>
    <x v="2"/>
    <n v="1"/>
    <x v="0"/>
    <n v="5769"/>
    <n v="23447"/>
    <n v="1"/>
    <s v="Y"/>
    <s v="Yes"/>
    <n v="14"/>
    <n v="3"/>
    <n v="1"/>
    <n v="80"/>
    <n v="0"/>
    <n v="10"/>
    <n v="3"/>
    <n v="3"/>
    <n v="10"/>
    <n v="7"/>
    <n v="1"/>
    <n v="4"/>
  </r>
  <r>
    <n v="45"/>
    <x v="0"/>
    <x v="1"/>
    <s v="Non-Travel"/>
    <n v="336"/>
    <x v="0"/>
    <n v="26"/>
    <n v="3"/>
    <x v="3"/>
    <n v="1"/>
    <n v="1612"/>
    <n v="1"/>
    <x v="1"/>
    <n v="52"/>
    <n v="2"/>
    <n v="2"/>
    <x v="0"/>
    <n v="1"/>
    <x v="1"/>
    <n v="4385"/>
    <n v="24162"/>
    <n v="1"/>
    <s v="Y"/>
    <s v="No"/>
    <n v="15"/>
    <n v="3"/>
    <n v="1"/>
    <n v="80"/>
    <n v="1"/>
    <n v="10"/>
    <n v="2"/>
    <n v="3"/>
    <n v="10"/>
    <n v="7"/>
    <n v="4"/>
    <n v="5"/>
  </r>
  <r>
    <n v="31"/>
    <x v="2"/>
    <x v="1"/>
    <s v="Travel_Frequently"/>
    <n v="715"/>
    <x v="0"/>
    <n v="2"/>
    <n v="4"/>
    <x v="1"/>
    <n v="1"/>
    <n v="1613"/>
    <n v="4"/>
    <x v="1"/>
    <n v="54"/>
    <n v="3"/>
    <n v="2"/>
    <x v="0"/>
    <n v="1"/>
    <x v="0"/>
    <n v="5332"/>
    <n v="21602"/>
    <n v="7"/>
    <s v="Y"/>
    <s v="No"/>
    <n v="13"/>
    <n v="3"/>
    <n v="4"/>
    <n v="80"/>
    <n v="0"/>
    <n v="10"/>
    <n v="3"/>
    <n v="3"/>
    <n v="5"/>
    <n v="2"/>
    <n v="0"/>
    <n v="3"/>
  </r>
  <r>
    <n v="36"/>
    <x v="0"/>
    <x v="1"/>
    <s v="Travel_Rarely"/>
    <n v="559"/>
    <x v="1"/>
    <n v="12"/>
    <n v="4"/>
    <x v="0"/>
    <n v="1"/>
    <n v="1614"/>
    <n v="3"/>
    <x v="0"/>
    <n v="76"/>
    <n v="3"/>
    <n v="2"/>
    <x v="3"/>
    <n v="3"/>
    <x v="1"/>
    <n v="4663"/>
    <n v="12421"/>
    <n v="9"/>
    <s v="Y"/>
    <s v="Yes"/>
    <n v="12"/>
    <n v="3"/>
    <n v="2"/>
    <n v="80"/>
    <n v="2"/>
    <n v="7"/>
    <n v="2"/>
    <n v="3"/>
    <n v="3"/>
    <n v="2"/>
    <n v="1"/>
    <n v="1"/>
  </r>
  <r>
    <n v="34"/>
    <x v="2"/>
    <x v="1"/>
    <s v="Travel_Frequently"/>
    <n v="426"/>
    <x v="1"/>
    <n v="10"/>
    <n v="4"/>
    <x v="0"/>
    <n v="1"/>
    <n v="1615"/>
    <n v="3"/>
    <x v="1"/>
    <n v="42"/>
    <n v="4"/>
    <n v="2"/>
    <x v="3"/>
    <n v="4"/>
    <x v="2"/>
    <n v="4724"/>
    <n v="17000"/>
    <n v="1"/>
    <s v="Y"/>
    <s v="No"/>
    <n v="13"/>
    <n v="3"/>
    <n v="1"/>
    <n v="80"/>
    <n v="1"/>
    <n v="9"/>
    <n v="3"/>
    <n v="3"/>
    <n v="9"/>
    <n v="7"/>
    <n v="7"/>
    <n v="2"/>
  </r>
  <r>
    <n v="49"/>
    <x v="1"/>
    <x v="1"/>
    <s v="Travel_Rarely"/>
    <n v="722"/>
    <x v="1"/>
    <n v="25"/>
    <n v="4"/>
    <x v="0"/>
    <n v="1"/>
    <n v="1617"/>
    <n v="3"/>
    <x v="0"/>
    <n v="84"/>
    <n v="3"/>
    <n v="1"/>
    <x v="2"/>
    <n v="1"/>
    <x v="1"/>
    <n v="3211"/>
    <n v="22102"/>
    <n v="1"/>
    <s v="Y"/>
    <s v="No"/>
    <n v="14"/>
    <n v="3"/>
    <n v="4"/>
    <n v="80"/>
    <n v="1"/>
    <n v="10"/>
    <n v="3"/>
    <n v="2"/>
    <n v="9"/>
    <n v="6"/>
    <n v="1"/>
    <n v="4"/>
  </r>
  <r>
    <n v="39"/>
    <x v="0"/>
    <x v="1"/>
    <s v="Travel_Rarely"/>
    <n v="1387"/>
    <x v="1"/>
    <n v="10"/>
    <n v="5"/>
    <x v="2"/>
    <n v="1"/>
    <n v="1618"/>
    <n v="2"/>
    <x v="1"/>
    <n v="76"/>
    <n v="3"/>
    <n v="2"/>
    <x v="3"/>
    <n v="1"/>
    <x v="1"/>
    <n v="5377"/>
    <n v="3835"/>
    <n v="2"/>
    <s v="Y"/>
    <s v="No"/>
    <n v="13"/>
    <n v="3"/>
    <n v="4"/>
    <n v="80"/>
    <n v="3"/>
    <n v="10"/>
    <n v="3"/>
    <n v="3"/>
    <n v="7"/>
    <n v="7"/>
    <n v="7"/>
    <n v="7"/>
  </r>
  <r>
    <n v="27"/>
    <x v="2"/>
    <x v="1"/>
    <s v="Travel_Rarely"/>
    <n v="1302"/>
    <x v="1"/>
    <n v="19"/>
    <n v="3"/>
    <x v="1"/>
    <n v="1"/>
    <n v="1619"/>
    <n v="4"/>
    <x v="1"/>
    <n v="67"/>
    <n v="2"/>
    <n v="1"/>
    <x v="2"/>
    <n v="1"/>
    <x v="2"/>
    <n v="4066"/>
    <n v="16290"/>
    <n v="1"/>
    <s v="Y"/>
    <s v="No"/>
    <n v="11"/>
    <n v="3"/>
    <n v="1"/>
    <n v="80"/>
    <n v="2"/>
    <n v="7"/>
    <n v="3"/>
    <n v="3"/>
    <n v="7"/>
    <n v="7"/>
    <n v="0"/>
    <n v="7"/>
  </r>
  <r>
    <n v="35"/>
    <x v="2"/>
    <x v="1"/>
    <s v="Travel_Rarely"/>
    <n v="819"/>
    <x v="1"/>
    <n v="18"/>
    <n v="5"/>
    <x v="0"/>
    <n v="1"/>
    <n v="1621"/>
    <n v="2"/>
    <x v="1"/>
    <n v="48"/>
    <n v="4"/>
    <n v="2"/>
    <x v="1"/>
    <n v="1"/>
    <x v="1"/>
    <n v="5208"/>
    <n v="26312"/>
    <n v="1"/>
    <s v="Y"/>
    <s v="No"/>
    <n v="11"/>
    <n v="3"/>
    <n v="4"/>
    <n v="80"/>
    <n v="0"/>
    <n v="16"/>
    <n v="2"/>
    <n v="3"/>
    <n v="16"/>
    <n v="15"/>
    <n v="1"/>
    <n v="10"/>
  </r>
  <r>
    <n v="28"/>
    <x v="2"/>
    <x v="1"/>
    <s v="Travel_Rarely"/>
    <n v="580"/>
    <x v="1"/>
    <n v="27"/>
    <n v="3"/>
    <x v="2"/>
    <n v="1"/>
    <n v="1622"/>
    <n v="2"/>
    <x v="0"/>
    <n v="39"/>
    <n v="1"/>
    <n v="2"/>
    <x v="3"/>
    <n v="1"/>
    <x v="2"/>
    <n v="4877"/>
    <n v="20460"/>
    <n v="0"/>
    <s v="Y"/>
    <s v="No"/>
    <n v="21"/>
    <n v="4"/>
    <n v="2"/>
    <n v="80"/>
    <n v="1"/>
    <n v="6"/>
    <n v="5"/>
    <n v="2"/>
    <n v="5"/>
    <n v="3"/>
    <n v="0"/>
    <n v="0"/>
  </r>
  <r>
    <n v="21"/>
    <x v="3"/>
    <x v="1"/>
    <s v="Travel_Rarely"/>
    <n v="546"/>
    <x v="1"/>
    <n v="5"/>
    <n v="1"/>
    <x v="2"/>
    <n v="1"/>
    <n v="1623"/>
    <n v="3"/>
    <x v="1"/>
    <n v="97"/>
    <n v="3"/>
    <n v="1"/>
    <x v="1"/>
    <n v="4"/>
    <x v="0"/>
    <n v="3117"/>
    <n v="26009"/>
    <n v="1"/>
    <s v="Y"/>
    <s v="No"/>
    <n v="18"/>
    <n v="3"/>
    <n v="3"/>
    <n v="80"/>
    <n v="0"/>
    <n v="3"/>
    <n v="2"/>
    <n v="3"/>
    <n v="2"/>
    <n v="2"/>
    <n v="2"/>
    <n v="2"/>
  </r>
  <r>
    <n v="18"/>
    <x v="3"/>
    <x v="0"/>
    <s v="Travel_Frequently"/>
    <n v="544"/>
    <x v="0"/>
    <n v="3"/>
    <n v="2"/>
    <x v="2"/>
    <n v="1"/>
    <n v="1624"/>
    <n v="2"/>
    <x v="0"/>
    <n v="70"/>
    <n v="3"/>
    <n v="1"/>
    <x v="6"/>
    <n v="4"/>
    <x v="0"/>
    <n v="1569"/>
    <n v="18420"/>
    <n v="1"/>
    <s v="Y"/>
    <s v="Yes"/>
    <n v="12"/>
    <n v="3"/>
    <n v="3"/>
    <n v="80"/>
    <n v="0"/>
    <n v="0"/>
    <n v="2"/>
    <n v="4"/>
    <n v="0"/>
    <n v="0"/>
    <n v="0"/>
    <n v="0"/>
  </r>
  <r>
    <n v="47"/>
    <x v="1"/>
    <x v="1"/>
    <s v="Travel_Rarely"/>
    <n v="1176"/>
    <x v="2"/>
    <n v="26"/>
    <n v="4"/>
    <x v="0"/>
    <n v="1"/>
    <n v="1625"/>
    <n v="4"/>
    <x v="0"/>
    <n v="98"/>
    <n v="3"/>
    <n v="5"/>
    <x v="5"/>
    <n v="3"/>
    <x v="1"/>
    <n v="19658"/>
    <n v="5220"/>
    <n v="3"/>
    <s v="Y"/>
    <s v="No"/>
    <n v="11"/>
    <n v="3"/>
    <n v="3"/>
    <n v="80"/>
    <n v="1"/>
    <n v="27"/>
    <n v="2"/>
    <n v="3"/>
    <n v="5"/>
    <n v="2"/>
    <n v="1"/>
    <n v="0"/>
  </r>
  <r>
    <n v="39"/>
    <x v="0"/>
    <x v="1"/>
    <s v="Travel_Rarely"/>
    <n v="170"/>
    <x v="1"/>
    <n v="3"/>
    <n v="2"/>
    <x v="2"/>
    <n v="1"/>
    <n v="1627"/>
    <n v="3"/>
    <x v="1"/>
    <n v="76"/>
    <n v="2"/>
    <n v="2"/>
    <x v="2"/>
    <n v="3"/>
    <x v="2"/>
    <n v="3069"/>
    <n v="10302"/>
    <n v="0"/>
    <s v="Y"/>
    <s v="No"/>
    <n v="15"/>
    <n v="3"/>
    <n v="4"/>
    <n v="80"/>
    <n v="1"/>
    <n v="11"/>
    <n v="3"/>
    <n v="3"/>
    <n v="10"/>
    <n v="8"/>
    <n v="0"/>
    <n v="7"/>
  </r>
  <r>
    <n v="40"/>
    <x v="0"/>
    <x v="1"/>
    <s v="Travel_Rarely"/>
    <n v="884"/>
    <x v="1"/>
    <n v="15"/>
    <n v="3"/>
    <x v="0"/>
    <n v="1"/>
    <n v="1628"/>
    <n v="1"/>
    <x v="0"/>
    <n v="80"/>
    <n v="2"/>
    <n v="3"/>
    <x v="3"/>
    <n v="3"/>
    <x v="1"/>
    <n v="10435"/>
    <n v="25800"/>
    <n v="1"/>
    <s v="Y"/>
    <s v="No"/>
    <n v="13"/>
    <n v="3"/>
    <n v="4"/>
    <n v="80"/>
    <n v="2"/>
    <n v="18"/>
    <n v="2"/>
    <n v="3"/>
    <n v="18"/>
    <n v="15"/>
    <n v="14"/>
    <n v="12"/>
  </r>
  <r>
    <n v="35"/>
    <x v="2"/>
    <x v="1"/>
    <s v="Non-Travel"/>
    <n v="208"/>
    <x v="1"/>
    <n v="8"/>
    <n v="4"/>
    <x v="0"/>
    <n v="1"/>
    <n v="1630"/>
    <n v="3"/>
    <x v="0"/>
    <n v="52"/>
    <n v="3"/>
    <n v="2"/>
    <x v="4"/>
    <n v="3"/>
    <x v="1"/>
    <n v="4148"/>
    <n v="12250"/>
    <n v="1"/>
    <s v="Y"/>
    <s v="No"/>
    <n v="12"/>
    <n v="3"/>
    <n v="4"/>
    <n v="80"/>
    <n v="1"/>
    <n v="15"/>
    <n v="5"/>
    <n v="3"/>
    <n v="14"/>
    <n v="11"/>
    <n v="2"/>
    <n v="9"/>
  </r>
  <r>
    <n v="37"/>
    <x v="0"/>
    <x v="1"/>
    <s v="Travel_Rarely"/>
    <n v="671"/>
    <x v="1"/>
    <n v="19"/>
    <n v="3"/>
    <x v="0"/>
    <n v="1"/>
    <n v="1631"/>
    <n v="3"/>
    <x v="1"/>
    <n v="85"/>
    <n v="3"/>
    <n v="2"/>
    <x v="3"/>
    <n v="3"/>
    <x v="1"/>
    <n v="5768"/>
    <n v="26493"/>
    <n v="3"/>
    <s v="Y"/>
    <s v="No"/>
    <n v="17"/>
    <n v="3"/>
    <n v="1"/>
    <n v="80"/>
    <n v="3"/>
    <n v="9"/>
    <n v="2"/>
    <n v="2"/>
    <n v="4"/>
    <n v="3"/>
    <n v="0"/>
    <n v="2"/>
  </r>
  <r>
    <n v="39"/>
    <x v="0"/>
    <x v="1"/>
    <s v="Travel_Frequently"/>
    <n v="711"/>
    <x v="1"/>
    <n v="4"/>
    <n v="3"/>
    <x v="2"/>
    <n v="1"/>
    <n v="1633"/>
    <n v="1"/>
    <x v="0"/>
    <n v="81"/>
    <n v="3"/>
    <n v="2"/>
    <x v="3"/>
    <n v="3"/>
    <x v="0"/>
    <n v="5042"/>
    <n v="3140"/>
    <n v="0"/>
    <s v="Y"/>
    <s v="No"/>
    <n v="13"/>
    <n v="3"/>
    <n v="4"/>
    <n v="80"/>
    <n v="0"/>
    <n v="10"/>
    <n v="2"/>
    <n v="1"/>
    <n v="9"/>
    <n v="2"/>
    <n v="3"/>
    <n v="8"/>
  </r>
  <r>
    <n v="45"/>
    <x v="0"/>
    <x v="1"/>
    <s v="Travel_Rarely"/>
    <n v="1329"/>
    <x v="1"/>
    <n v="2"/>
    <n v="2"/>
    <x v="1"/>
    <n v="1"/>
    <n v="1635"/>
    <n v="4"/>
    <x v="0"/>
    <n v="59"/>
    <n v="2"/>
    <n v="2"/>
    <x v="3"/>
    <n v="4"/>
    <x v="2"/>
    <n v="5770"/>
    <n v="5388"/>
    <n v="1"/>
    <s v="Y"/>
    <s v="No"/>
    <n v="19"/>
    <n v="3"/>
    <n v="1"/>
    <n v="80"/>
    <n v="2"/>
    <n v="10"/>
    <n v="3"/>
    <n v="3"/>
    <n v="10"/>
    <n v="7"/>
    <n v="3"/>
    <n v="9"/>
  </r>
  <r>
    <n v="38"/>
    <x v="0"/>
    <x v="1"/>
    <s v="Travel_Rarely"/>
    <n v="397"/>
    <x v="1"/>
    <n v="2"/>
    <n v="2"/>
    <x v="2"/>
    <n v="1"/>
    <n v="1638"/>
    <n v="4"/>
    <x v="0"/>
    <n v="54"/>
    <n v="2"/>
    <n v="3"/>
    <x v="3"/>
    <n v="3"/>
    <x v="1"/>
    <n v="7756"/>
    <n v="14199"/>
    <n v="3"/>
    <s v="Y"/>
    <s v="Yes"/>
    <n v="19"/>
    <n v="3"/>
    <n v="4"/>
    <n v="80"/>
    <n v="1"/>
    <n v="10"/>
    <n v="6"/>
    <n v="4"/>
    <n v="5"/>
    <n v="4"/>
    <n v="0"/>
    <n v="2"/>
  </r>
  <r>
    <n v="35"/>
    <x v="2"/>
    <x v="0"/>
    <s v="Travel_Rarely"/>
    <n v="737"/>
    <x v="0"/>
    <n v="10"/>
    <n v="3"/>
    <x v="2"/>
    <n v="1"/>
    <n v="1639"/>
    <n v="4"/>
    <x v="1"/>
    <n v="55"/>
    <n v="2"/>
    <n v="3"/>
    <x v="0"/>
    <n v="1"/>
    <x v="1"/>
    <n v="10306"/>
    <n v="21530"/>
    <n v="9"/>
    <s v="Y"/>
    <s v="No"/>
    <n v="17"/>
    <n v="3"/>
    <n v="3"/>
    <n v="80"/>
    <n v="0"/>
    <n v="15"/>
    <n v="3"/>
    <n v="3"/>
    <n v="13"/>
    <n v="12"/>
    <n v="6"/>
    <n v="0"/>
  </r>
  <r>
    <n v="37"/>
    <x v="0"/>
    <x v="1"/>
    <s v="Travel_Rarely"/>
    <n v="1470"/>
    <x v="1"/>
    <n v="10"/>
    <n v="3"/>
    <x v="2"/>
    <n v="1"/>
    <n v="1640"/>
    <n v="2"/>
    <x v="0"/>
    <n v="71"/>
    <n v="3"/>
    <n v="1"/>
    <x v="1"/>
    <n v="2"/>
    <x v="1"/>
    <n v="3936"/>
    <n v="9953"/>
    <n v="1"/>
    <s v="Y"/>
    <s v="No"/>
    <n v="11"/>
    <n v="3"/>
    <n v="1"/>
    <n v="80"/>
    <n v="1"/>
    <n v="8"/>
    <n v="2"/>
    <n v="1"/>
    <n v="8"/>
    <n v="4"/>
    <n v="7"/>
    <n v="7"/>
  </r>
  <r>
    <n v="40"/>
    <x v="0"/>
    <x v="1"/>
    <s v="Travel_Rarely"/>
    <n v="448"/>
    <x v="1"/>
    <n v="16"/>
    <n v="3"/>
    <x v="0"/>
    <n v="1"/>
    <n v="1641"/>
    <n v="3"/>
    <x v="0"/>
    <n v="84"/>
    <n v="3"/>
    <n v="3"/>
    <x v="3"/>
    <n v="4"/>
    <x v="0"/>
    <n v="7945"/>
    <n v="19948"/>
    <n v="6"/>
    <s v="Y"/>
    <s v="Yes"/>
    <n v="15"/>
    <n v="3"/>
    <n v="4"/>
    <n v="80"/>
    <n v="0"/>
    <n v="18"/>
    <n v="2"/>
    <n v="2"/>
    <n v="4"/>
    <n v="2"/>
    <n v="3"/>
    <n v="3"/>
  </r>
  <r>
    <n v="44"/>
    <x v="0"/>
    <x v="1"/>
    <s v="Travel_Frequently"/>
    <n v="602"/>
    <x v="2"/>
    <n v="1"/>
    <n v="5"/>
    <x v="5"/>
    <n v="1"/>
    <n v="1642"/>
    <n v="1"/>
    <x v="1"/>
    <n v="37"/>
    <n v="3"/>
    <n v="2"/>
    <x v="8"/>
    <n v="4"/>
    <x v="1"/>
    <n v="5743"/>
    <n v="10503"/>
    <n v="4"/>
    <s v="Y"/>
    <s v="Yes"/>
    <n v="11"/>
    <n v="3"/>
    <n v="3"/>
    <n v="80"/>
    <n v="0"/>
    <n v="14"/>
    <n v="3"/>
    <n v="3"/>
    <n v="10"/>
    <n v="7"/>
    <n v="0"/>
    <n v="2"/>
  </r>
  <r>
    <n v="48"/>
    <x v="1"/>
    <x v="1"/>
    <s v="Travel_Frequently"/>
    <n v="365"/>
    <x v="1"/>
    <n v="4"/>
    <n v="5"/>
    <x v="2"/>
    <n v="1"/>
    <n v="1644"/>
    <n v="3"/>
    <x v="1"/>
    <n v="89"/>
    <n v="2"/>
    <n v="4"/>
    <x v="5"/>
    <n v="4"/>
    <x v="1"/>
    <n v="15202"/>
    <n v="5602"/>
    <n v="2"/>
    <s v="Y"/>
    <s v="No"/>
    <n v="25"/>
    <n v="4"/>
    <n v="2"/>
    <n v="80"/>
    <n v="1"/>
    <n v="23"/>
    <n v="3"/>
    <n v="3"/>
    <n v="2"/>
    <n v="2"/>
    <n v="2"/>
    <n v="2"/>
  </r>
  <r>
    <n v="35"/>
    <x v="2"/>
    <x v="0"/>
    <s v="Travel_Rarely"/>
    <n v="763"/>
    <x v="0"/>
    <n v="15"/>
    <n v="2"/>
    <x v="2"/>
    <n v="1"/>
    <n v="1645"/>
    <n v="1"/>
    <x v="1"/>
    <n v="59"/>
    <n v="1"/>
    <n v="2"/>
    <x v="0"/>
    <n v="4"/>
    <x v="2"/>
    <n v="5440"/>
    <n v="22098"/>
    <n v="6"/>
    <s v="Y"/>
    <s v="Yes"/>
    <n v="14"/>
    <n v="3"/>
    <n v="4"/>
    <n v="80"/>
    <n v="2"/>
    <n v="7"/>
    <n v="2"/>
    <n v="2"/>
    <n v="2"/>
    <n v="2"/>
    <n v="2"/>
    <n v="2"/>
  </r>
  <r>
    <n v="24"/>
    <x v="3"/>
    <x v="1"/>
    <s v="Travel_Frequently"/>
    <n v="567"/>
    <x v="1"/>
    <n v="2"/>
    <n v="1"/>
    <x v="4"/>
    <n v="1"/>
    <n v="1646"/>
    <n v="1"/>
    <x v="0"/>
    <n v="32"/>
    <n v="3"/>
    <n v="1"/>
    <x v="1"/>
    <n v="4"/>
    <x v="0"/>
    <n v="3760"/>
    <n v="17218"/>
    <n v="1"/>
    <s v="Y"/>
    <s v="Yes"/>
    <n v="13"/>
    <n v="3"/>
    <n v="3"/>
    <n v="80"/>
    <n v="0"/>
    <n v="6"/>
    <n v="2"/>
    <n v="3"/>
    <n v="6"/>
    <n v="3"/>
    <n v="1"/>
    <n v="3"/>
  </r>
  <r>
    <n v="27"/>
    <x v="2"/>
    <x v="1"/>
    <s v="Travel_Rarely"/>
    <n v="486"/>
    <x v="1"/>
    <n v="8"/>
    <n v="3"/>
    <x v="2"/>
    <n v="1"/>
    <n v="1647"/>
    <n v="2"/>
    <x v="0"/>
    <n v="86"/>
    <n v="4"/>
    <n v="1"/>
    <x v="1"/>
    <n v="3"/>
    <x v="1"/>
    <n v="3517"/>
    <n v="22490"/>
    <n v="7"/>
    <s v="Y"/>
    <s v="No"/>
    <n v="17"/>
    <n v="3"/>
    <n v="1"/>
    <n v="80"/>
    <n v="0"/>
    <n v="5"/>
    <n v="0"/>
    <n v="3"/>
    <n v="3"/>
    <n v="2"/>
    <n v="0"/>
    <n v="2"/>
  </r>
  <r>
    <n v="27"/>
    <x v="2"/>
    <x v="1"/>
    <s v="Travel_Frequently"/>
    <n v="591"/>
    <x v="1"/>
    <n v="2"/>
    <n v="3"/>
    <x v="2"/>
    <n v="1"/>
    <n v="1648"/>
    <n v="4"/>
    <x v="1"/>
    <n v="87"/>
    <n v="3"/>
    <n v="1"/>
    <x v="1"/>
    <n v="4"/>
    <x v="0"/>
    <n v="2580"/>
    <n v="6297"/>
    <n v="2"/>
    <s v="Y"/>
    <s v="No"/>
    <n v="13"/>
    <n v="3"/>
    <n v="3"/>
    <n v="80"/>
    <n v="0"/>
    <n v="6"/>
    <n v="0"/>
    <n v="2"/>
    <n v="4"/>
    <n v="2"/>
    <n v="1"/>
    <n v="2"/>
  </r>
  <r>
    <n v="40"/>
    <x v="0"/>
    <x v="0"/>
    <s v="Travel_Rarely"/>
    <n v="1329"/>
    <x v="1"/>
    <n v="7"/>
    <n v="3"/>
    <x v="0"/>
    <n v="1"/>
    <n v="1649"/>
    <n v="1"/>
    <x v="1"/>
    <n v="73"/>
    <n v="3"/>
    <n v="1"/>
    <x v="2"/>
    <n v="1"/>
    <x v="0"/>
    <n v="2166"/>
    <n v="3339"/>
    <n v="3"/>
    <s v="Y"/>
    <s v="Yes"/>
    <n v="14"/>
    <n v="3"/>
    <n v="2"/>
    <n v="80"/>
    <n v="0"/>
    <n v="10"/>
    <n v="3"/>
    <n v="1"/>
    <n v="4"/>
    <n v="2"/>
    <n v="0"/>
    <n v="3"/>
  </r>
  <r>
    <n v="29"/>
    <x v="2"/>
    <x v="1"/>
    <s v="Travel_Rarely"/>
    <n v="469"/>
    <x v="0"/>
    <n v="10"/>
    <n v="3"/>
    <x v="2"/>
    <n v="1"/>
    <n v="1650"/>
    <n v="3"/>
    <x v="1"/>
    <n v="42"/>
    <n v="2"/>
    <n v="2"/>
    <x v="0"/>
    <n v="3"/>
    <x v="0"/>
    <n v="5869"/>
    <n v="23413"/>
    <n v="9"/>
    <s v="Y"/>
    <s v="No"/>
    <n v="11"/>
    <n v="3"/>
    <n v="3"/>
    <n v="80"/>
    <n v="0"/>
    <n v="8"/>
    <n v="2"/>
    <n v="3"/>
    <n v="5"/>
    <n v="2"/>
    <n v="1"/>
    <n v="4"/>
  </r>
  <r>
    <n v="36"/>
    <x v="0"/>
    <x v="1"/>
    <s v="Travel_Rarely"/>
    <n v="711"/>
    <x v="1"/>
    <n v="5"/>
    <n v="4"/>
    <x v="0"/>
    <n v="1"/>
    <n v="1651"/>
    <n v="2"/>
    <x v="0"/>
    <n v="42"/>
    <n v="3"/>
    <n v="3"/>
    <x v="4"/>
    <n v="1"/>
    <x v="1"/>
    <n v="8008"/>
    <n v="22792"/>
    <n v="4"/>
    <s v="Y"/>
    <s v="No"/>
    <n v="12"/>
    <n v="3"/>
    <n v="3"/>
    <n v="80"/>
    <n v="2"/>
    <n v="9"/>
    <n v="6"/>
    <n v="3"/>
    <n v="3"/>
    <n v="2"/>
    <n v="0"/>
    <n v="2"/>
  </r>
  <r>
    <n v="25"/>
    <x v="3"/>
    <x v="1"/>
    <s v="Travel_Frequently"/>
    <n v="772"/>
    <x v="1"/>
    <n v="2"/>
    <n v="1"/>
    <x v="0"/>
    <n v="1"/>
    <n v="1653"/>
    <n v="4"/>
    <x v="1"/>
    <n v="77"/>
    <n v="4"/>
    <n v="2"/>
    <x v="3"/>
    <n v="3"/>
    <x v="2"/>
    <n v="5206"/>
    <n v="4973"/>
    <n v="1"/>
    <s v="Y"/>
    <s v="No"/>
    <n v="17"/>
    <n v="3"/>
    <n v="3"/>
    <n v="80"/>
    <n v="2"/>
    <n v="7"/>
    <n v="6"/>
    <n v="3"/>
    <n v="7"/>
    <n v="7"/>
    <n v="0"/>
    <n v="7"/>
  </r>
  <r>
    <n v="39"/>
    <x v="0"/>
    <x v="1"/>
    <s v="Travel_Rarely"/>
    <n v="492"/>
    <x v="1"/>
    <n v="12"/>
    <n v="3"/>
    <x v="2"/>
    <n v="1"/>
    <n v="1654"/>
    <n v="4"/>
    <x v="1"/>
    <n v="66"/>
    <n v="3"/>
    <n v="2"/>
    <x v="3"/>
    <n v="2"/>
    <x v="1"/>
    <n v="5295"/>
    <n v="7693"/>
    <n v="4"/>
    <s v="Y"/>
    <s v="No"/>
    <n v="21"/>
    <n v="4"/>
    <n v="3"/>
    <n v="80"/>
    <n v="0"/>
    <n v="7"/>
    <n v="3"/>
    <n v="3"/>
    <n v="5"/>
    <n v="4"/>
    <n v="1"/>
    <n v="0"/>
  </r>
  <r>
    <n v="49"/>
    <x v="1"/>
    <x v="1"/>
    <s v="Travel_Rarely"/>
    <n v="301"/>
    <x v="1"/>
    <n v="22"/>
    <n v="4"/>
    <x v="1"/>
    <n v="1"/>
    <n v="1655"/>
    <n v="1"/>
    <x v="0"/>
    <n v="72"/>
    <n v="3"/>
    <n v="4"/>
    <x v="7"/>
    <n v="2"/>
    <x v="1"/>
    <n v="16413"/>
    <n v="3498"/>
    <n v="3"/>
    <s v="Y"/>
    <s v="No"/>
    <n v="16"/>
    <n v="3"/>
    <n v="2"/>
    <n v="80"/>
    <n v="2"/>
    <n v="27"/>
    <n v="2"/>
    <n v="3"/>
    <n v="4"/>
    <n v="2"/>
    <n v="1"/>
    <n v="2"/>
  </r>
  <r>
    <n v="50"/>
    <x v="1"/>
    <x v="1"/>
    <s v="Travel_Rarely"/>
    <n v="813"/>
    <x v="1"/>
    <n v="17"/>
    <n v="5"/>
    <x v="0"/>
    <n v="1"/>
    <n v="1656"/>
    <n v="4"/>
    <x v="0"/>
    <n v="50"/>
    <n v="2"/>
    <n v="3"/>
    <x v="7"/>
    <n v="1"/>
    <x v="2"/>
    <n v="13269"/>
    <n v="21981"/>
    <n v="5"/>
    <s v="Y"/>
    <s v="No"/>
    <n v="15"/>
    <n v="3"/>
    <n v="3"/>
    <n v="80"/>
    <n v="3"/>
    <n v="19"/>
    <n v="3"/>
    <n v="3"/>
    <n v="14"/>
    <n v="11"/>
    <n v="1"/>
    <n v="11"/>
  </r>
  <r>
    <n v="20"/>
    <x v="3"/>
    <x v="1"/>
    <s v="Travel_Rarely"/>
    <n v="1141"/>
    <x v="0"/>
    <n v="2"/>
    <n v="3"/>
    <x v="2"/>
    <n v="1"/>
    <n v="1657"/>
    <n v="3"/>
    <x v="0"/>
    <n v="31"/>
    <n v="3"/>
    <n v="1"/>
    <x v="6"/>
    <n v="3"/>
    <x v="0"/>
    <n v="2783"/>
    <n v="13251"/>
    <n v="1"/>
    <s v="Y"/>
    <s v="No"/>
    <n v="19"/>
    <n v="3"/>
    <n v="1"/>
    <n v="80"/>
    <n v="0"/>
    <n v="2"/>
    <n v="3"/>
    <n v="3"/>
    <n v="2"/>
    <n v="2"/>
    <n v="2"/>
    <n v="2"/>
  </r>
  <r>
    <n v="34"/>
    <x v="2"/>
    <x v="1"/>
    <s v="Travel_Rarely"/>
    <n v="1130"/>
    <x v="1"/>
    <n v="3"/>
    <n v="3"/>
    <x v="0"/>
    <n v="1"/>
    <n v="1658"/>
    <n v="4"/>
    <x v="0"/>
    <n v="66"/>
    <n v="3"/>
    <n v="2"/>
    <x v="1"/>
    <n v="2"/>
    <x v="2"/>
    <n v="5433"/>
    <n v="19332"/>
    <n v="1"/>
    <s v="Y"/>
    <s v="No"/>
    <n v="12"/>
    <n v="3"/>
    <n v="3"/>
    <n v="80"/>
    <n v="1"/>
    <n v="11"/>
    <n v="2"/>
    <n v="3"/>
    <n v="11"/>
    <n v="8"/>
    <n v="7"/>
    <n v="9"/>
  </r>
  <r>
    <n v="36"/>
    <x v="0"/>
    <x v="1"/>
    <s v="Travel_Rarely"/>
    <n v="311"/>
    <x v="1"/>
    <n v="7"/>
    <n v="3"/>
    <x v="0"/>
    <n v="1"/>
    <n v="1659"/>
    <n v="1"/>
    <x v="1"/>
    <n v="77"/>
    <n v="3"/>
    <n v="1"/>
    <x v="2"/>
    <n v="2"/>
    <x v="0"/>
    <n v="2013"/>
    <n v="10950"/>
    <n v="2"/>
    <s v="Y"/>
    <s v="No"/>
    <n v="11"/>
    <n v="3"/>
    <n v="3"/>
    <n v="80"/>
    <n v="0"/>
    <n v="15"/>
    <n v="4"/>
    <n v="3"/>
    <n v="4"/>
    <n v="3"/>
    <n v="1"/>
    <n v="3"/>
  </r>
  <r>
    <n v="49"/>
    <x v="1"/>
    <x v="1"/>
    <s v="Travel_Rarely"/>
    <n v="465"/>
    <x v="1"/>
    <n v="6"/>
    <n v="1"/>
    <x v="0"/>
    <n v="1"/>
    <n v="1661"/>
    <n v="3"/>
    <x v="0"/>
    <n v="41"/>
    <n v="2"/>
    <n v="4"/>
    <x v="4"/>
    <n v="3"/>
    <x v="1"/>
    <n v="13966"/>
    <n v="11652"/>
    <n v="2"/>
    <s v="Y"/>
    <s v="Yes"/>
    <n v="19"/>
    <n v="3"/>
    <n v="2"/>
    <n v="80"/>
    <n v="1"/>
    <n v="30"/>
    <n v="3"/>
    <n v="3"/>
    <n v="15"/>
    <n v="11"/>
    <n v="2"/>
    <n v="12"/>
  </r>
  <r>
    <n v="36"/>
    <x v="0"/>
    <x v="1"/>
    <s v="Non-Travel"/>
    <n v="894"/>
    <x v="1"/>
    <n v="1"/>
    <n v="4"/>
    <x v="2"/>
    <n v="1"/>
    <n v="1662"/>
    <n v="4"/>
    <x v="0"/>
    <n v="33"/>
    <n v="2"/>
    <n v="2"/>
    <x v="3"/>
    <n v="3"/>
    <x v="1"/>
    <n v="4374"/>
    <n v="15411"/>
    <n v="0"/>
    <s v="Y"/>
    <s v="No"/>
    <n v="15"/>
    <n v="3"/>
    <n v="3"/>
    <n v="80"/>
    <n v="0"/>
    <n v="4"/>
    <n v="6"/>
    <n v="3"/>
    <n v="3"/>
    <n v="2"/>
    <n v="1"/>
    <n v="2"/>
  </r>
  <r>
    <n v="36"/>
    <x v="0"/>
    <x v="1"/>
    <s v="Travel_Rarely"/>
    <n v="1040"/>
    <x v="1"/>
    <n v="3"/>
    <n v="2"/>
    <x v="0"/>
    <n v="1"/>
    <n v="1664"/>
    <n v="4"/>
    <x v="1"/>
    <n v="79"/>
    <n v="4"/>
    <n v="2"/>
    <x v="4"/>
    <n v="1"/>
    <x v="2"/>
    <n v="6842"/>
    <n v="26308"/>
    <n v="6"/>
    <s v="Y"/>
    <s v="No"/>
    <n v="20"/>
    <n v="4"/>
    <n v="1"/>
    <n v="80"/>
    <n v="1"/>
    <n v="13"/>
    <n v="3"/>
    <n v="3"/>
    <n v="5"/>
    <n v="4"/>
    <n v="0"/>
    <n v="4"/>
  </r>
  <r>
    <n v="54"/>
    <x v="1"/>
    <x v="1"/>
    <s v="Travel_Rarely"/>
    <n v="584"/>
    <x v="1"/>
    <n v="22"/>
    <n v="5"/>
    <x v="2"/>
    <n v="1"/>
    <n v="1665"/>
    <n v="2"/>
    <x v="0"/>
    <n v="91"/>
    <n v="3"/>
    <n v="4"/>
    <x v="5"/>
    <n v="3"/>
    <x v="1"/>
    <n v="17426"/>
    <n v="18685"/>
    <n v="3"/>
    <s v="Y"/>
    <s v="No"/>
    <n v="25"/>
    <n v="4"/>
    <n v="3"/>
    <n v="80"/>
    <n v="1"/>
    <n v="36"/>
    <n v="6"/>
    <n v="3"/>
    <n v="10"/>
    <n v="8"/>
    <n v="4"/>
    <n v="7"/>
  </r>
  <r>
    <n v="43"/>
    <x v="0"/>
    <x v="1"/>
    <s v="Travel_Rarely"/>
    <n v="1291"/>
    <x v="1"/>
    <n v="15"/>
    <n v="2"/>
    <x v="0"/>
    <n v="1"/>
    <n v="1666"/>
    <n v="3"/>
    <x v="1"/>
    <n v="65"/>
    <n v="2"/>
    <n v="4"/>
    <x v="7"/>
    <n v="3"/>
    <x v="1"/>
    <n v="17603"/>
    <n v="3525"/>
    <n v="1"/>
    <s v="Y"/>
    <s v="No"/>
    <n v="24"/>
    <n v="4"/>
    <n v="1"/>
    <n v="80"/>
    <n v="1"/>
    <n v="14"/>
    <n v="3"/>
    <n v="3"/>
    <n v="14"/>
    <n v="10"/>
    <n v="6"/>
    <n v="11"/>
  </r>
  <r>
    <n v="35"/>
    <x v="2"/>
    <x v="0"/>
    <s v="Travel_Frequently"/>
    <n v="880"/>
    <x v="0"/>
    <n v="12"/>
    <n v="4"/>
    <x v="1"/>
    <n v="1"/>
    <n v="1667"/>
    <n v="4"/>
    <x v="1"/>
    <n v="36"/>
    <n v="3"/>
    <n v="2"/>
    <x v="0"/>
    <n v="4"/>
    <x v="0"/>
    <n v="4581"/>
    <n v="10414"/>
    <n v="3"/>
    <s v="Y"/>
    <s v="Yes"/>
    <n v="24"/>
    <n v="4"/>
    <n v="1"/>
    <n v="80"/>
    <n v="0"/>
    <n v="13"/>
    <n v="2"/>
    <n v="4"/>
    <n v="11"/>
    <n v="9"/>
    <n v="6"/>
    <n v="7"/>
  </r>
  <r>
    <n v="38"/>
    <x v="0"/>
    <x v="1"/>
    <s v="Travel_Frequently"/>
    <n v="1189"/>
    <x v="1"/>
    <n v="1"/>
    <n v="3"/>
    <x v="0"/>
    <n v="1"/>
    <n v="1668"/>
    <n v="4"/>
    <x v="1"/>
    <n v="90"/>
    <n v="3"/>
    <n v="2"/>
    <x v="1"/>
    <n v="4"/>
    <x v="1"/>
    <n v="4735"/>
    <n v="9867"/>
    <n v="7"/>
    <s v="Y"/>
    <s v="No"/>
    <n v="15"/>
    <n v="3"/>
    <n v="4"/>
    <n v="80"/>
    <n v="2"/>
    <n v="19"/>
    <n v="4"/>
    <n v="4"/>
    <n v="13"/>
    <n v="11"/>
    <n v="2"/>
    <n v="9"/>
  </r>
  <r>
    <n v="29"/>
    <x v="2"/>
    <x v="1"/>
    <s v="Travel_Rarely"/>
    <n v="991"/>
    <x v="0"/>
    <n v="5"/>
    <n v="3"/>
    <x v="2"/>
    <n v="1"/>
    <n v="1669"/>
    <n v="1"/>
    <x v="1"/>
    <n v="43"/>
    <n v="2"/>
    <n v="2"/>
    <x v="0"/>
    <n v="2"/>
    <x v="2"/>
    <n v="4187"/>
    <n v="3356"/>
    <n v="1"/>
    <s v="Y"/>
    <s v="Yes"/>
    <n v="13"/>
    <n v="3"/>
    <n v="2"/>
    <n v="80"/>
    <n v="1"/>
    <n v="10"/>
    <n v="3"/>
    <n v="2"/>
    <n v="10"/>
    <n v="0"/>
    <n v="0"/>
    <n v="9"/>
  </r>
  <r>
    <n v="33"/>
    <x v="2"/>
    <x v="1"/>
    <s v="Travel_Rarely"/>
    <n v="392"/>
    <x v="0"/>
    <n v="2"/>
    <n v="4"/>
    <x v="2"/>
    <n v="1"/>
    <n v="1670"/>
    <n v="4"/>
    <x v="1"/>
    <n v="93"/>
    <n v="3"/>
    <n v="2"/>
    <x v="0"/>
    <n v="4"/>
    <x v="2"/>
    <n v="5505"/>
    <n v="3921"/>
    <n v="1"/>
    <s v="Y"/>
    <s v="No"/>
    <n v="14"/>
    <n v="3"/>
    <n v="3"/>
    <n v="80"/>
    <n v="2"/>
    <n v="6"/>
    <n v="5"/>
    <n v="3"/>
    <n v="6"/>
    <n v="2"/>
    <n v="0"/>
    <n v="4"/>
  </r>
  <r>
    <n v="32"/>
    <x v="2"/>
    <x v="1"/>
    <s v="Travel_Rarely"/>
    <n v="977"/>
    <x v="1"/>
    <n v="2"/>
    <n v="3"/>
    <x v="2"/>
    <n v="1"/>
    <n v="1671"/>
    <n v="4"/>
    <x v="1"/>
    <n v="45"/>
    <n v="3"/>
    <n v="2"/>
    <x v="1"/>
    <n v="2"/>
    <x v="2"/>
    <n v="5470"/>
    <n v="25518"/>
    <n v="0"/>
    <s v="Y"/>
    <s v="No"/>
    <n v="13"/>
    <n v="3"/>
    <n v="3"/>
    <n v="80"/>
    <n v="2"/>
    <n v="10"/>
    <n v="4"/>
    <n v="2"/>
    <n v="9"/>
    <n v="5"/>
    <n v="1"/>
    <n v="6"/>
  </r>
  <r>
    <n v="31"/>
    <x v="2"/>
    <x v="1"/>
    <s v="Travel_Rarely"/>
    <n v="1112"/>
    <x v="0"/>
    <n v="5"/>
    <n v="4"/>
    <x v="0"/>
    <n v="1"/>
    <n v="1673"/>
    <n v="1"/>
    <x v="0"/>
    <n v="67"/>
    <n v="3"/>
    <n v="2"/>
    <x v="0"/>
    <n v="4"/>
    <x v="1"/>
    <n v="5476"/>
    <n v="22589"/>
    <n v="1"/>
    <s v="Y"/>
    <s v="No"/>
    <n v="11"/>
    <n v="3"/>
    <n v="1"/>
    <n v="80"/>
    <n v="2"/>
    <n v="10"/>
    <n v="2"/>
    <n v="3"/>
    <n v="10"/>
    <n v="0"/>
    <n v="0"/>
    <n v="2"/>
  </r>
  <r>
    <n v="49"/>
    <x v="1"/>
    <x v="1"/>
    <s v="Travel_Rarely"/>
    <n v="464"/>
    <x v="1"/>
    <n v="16"/>
    <n v="3"/>
    <x v="2"/>
    <n v="1"/>
    <n v="1674"/>
    <n v="4"/>
    <x v="0"/>
    <n v="74"/>
    <n v="3"/>
    <n v="1"/>
    <x v="2"/>
    <n v="1"/>
    <x v="2"/>
    <n v="2587"/>
    <n v="24941"/>
    <n v="4"/>
    <s v="Y"/>
    <s v="Yes"/>
    <n v="16"/>
    <n v="3"/>
    <n v="2"/>
    <n v="80"/>
    <n v="1"/>
    <n v="17"/>
    <n v="2"/>
    <n v="2"/>
    <n v="2"/>
    <n v="2"/>
    <n v="2"/>
    <n v="2"/>
  </r>
  <r>
    <n v="38"/>
    <x v="0"/>
    <x v="1"/>
    <s v="Travel_Frequently"/>
    <n v="148"/>
    <x v="1"/>
    <n v="2"/>
    <n v="3"/>
    <x v="2"/>
    <n v="1"/>
    <n v="1675"/>
    <n v="4"/>
    <x v="0"/>
    <n v="42"/>
    <n v="2"/>
    <n v="1"/>
    <x v="2"/>
    <n v="2"/>
    <x v="0"/>
    <n v="2440"/>
    <n v="23826"/>
    <n v="1"/>
    <s v="Y"/>
    <s v="No"/>
    <n v="22"/>
    <n v="4"/>
    <n v="2"/>
    <n v="80"/>
    <n v="0"/>
    <n v="4"/>
    <n v="3"/>
    <n v="3"/>
    <n v="4"/>
    <n v="3"/>
    <n v="3"/>
    <n v="3"/>
  </r>
  <r>
    <n v="47"/>
    <x v="1"/>
    <x v="1"/>
    <s v="Travel_Rarely"/>
    <n v="1225"/>
    <x v="0"/>
    <n v="2"/>
    <n v="4"/>
    <x v="0"/>
    <n v="1"/>
    <n v="1676"/>
    <n v="2"/>
    <x v="0"/>
    <n v="47"/>
    <n v="4"/>
    <n v="4"/>
    <x v="5"/>
    <n v="2"/>
    <x v="2"/>
    <n v="15972"/>
    <n v="21086"/>
    <n v="6"/>
    <s v="Y"/>
    <s v="No"/>
    <n v="14"/>
    <n v="3"/>
    <n v="3"/>
    <n v="80"/>
    <n v="3"/>
    <n v="29"/>
    <n v="2"/>
    <n v="3"/>
    <n v="3"/>
    <n v="2"/>
    <n v="1"/>
    <n v="2"/>
  </r>
  <r>
    <n v="49"/>
    <x v="1"/>
    <x v="1"/>
    <s v="Travel_Rarely"/>
    <n v="809"/>
    <x v="1"/>
    <n v="1"/>
    <n v="3"/>
    <x v="0"/>
    <n v="1"/>
    <n v="1677"/>
    <n v="3"/>
    <x v="1"/>
    <n v="36"/>
    <n v="3"/>
    <n v="4"/>
    <x v="5"/>
    <n v="3"/>
    <x v="0"/>
    <n v="15379"/>
    <n v="22384"/>
    <n v="4"/>
    <s v="Y"/>
    <s v="No"/>
    <n v="14"/>
    <n v="3"/>
    <n v="1"/>
    <n v="80"/>
    <n v="0"/>
    <n v="23"/>
    <n v="2"/>
    <n v="3"/>
    <n v="8"/>
    <n v="7"/>
    <n v="0"/>
    <n v="0"/>
  </r>
  <r>
    <n v="41"/>
    <x v="0"/>
    <x v="1"/>
    <s v="Travel_Rarely"/>
    <n v="1206"/>
    <x v="0"/>
    <n v="23"/>
    <n v="2"/>
    <x v="0"/>
    <n v="1"/>
    <n v="1678"/>
    <n v="4"/>
    <x v="1"/>
    <n v="80"/>
    <n v="3"/>
    <n v="3"/>
    <x v="0"/>
    <n v="3"/>
    <x v="0"/>
    <n v="7082"/>
    <n v="11591"/>
    <n v="3"/>
    <s v="Y"/>
    <s v="Yes"/>
    <n v="16"/>
    <n v="3"/>
    <n v="4"/>
    <n v="80"/>
    <n v="0"/>
    <n v="21"/>
    <n v="2"/>
    <n v="3"/>
    <n v="2"/>
    <n v="0"/>
    <n v="0"/>
    <n v="2"/>
  </r>
  <r>
    <n v="20"/>
    <x v="3"/>
    <x v="1"/>
    <s v="Travel_Rarely"/>
    <n v="727"/>
    <x v="0"/>
    <n v="9"/>
    <n v="1"/>
    <x v="0"/>
    <n v="1"/>
    <n v="1680"/>
    <n v="4"/>
    <x v="1"/>
    <n v="54"/>
    <n v="3"/>
    <n v="1"/>
    <x v="6"/>
    <n v="1"/>
    <x v="0"/>
    <n v="2728"/>
    <n v="21082"/>
    <n v="1"/>
    <s v="Y"/>
    <s v="No"/>
    <n v="11"/>
    <n v="3"/>
    <n v="1"/>
    <n v="80"/>
    <n v="0"/>
    <n v="2"/>
    <n v="3"/>
    <n v="3"/>
    <n v="2"/>
    <n v="2"/>
    <n v="0"/>
    <n v="2"/>
  </r>
  <r>
    <n v="33"/>
    <x v="2"/>
    <x v="1"/>
    <s v="Non-Travel"/>
    <n v="530"/>
    <x v="0"/>
    <n v="16"/>
    <n v="3"/>
    <x v="0"/>
    <n v="1"/>
    <n v="1681"/>
    <n v="3"/>
    <x v="0"/>
    <n v="36"/>
    <n v="3"/>
    <n v="2"/>
    <x v="0"/>
    <n v="4"/>
    <x v="2"/>
    <n v="5368"/>
    <n v="16130"/>
    <n v="1"/>
    <s v="Y"/>
    <s v="Yes"/>
    <n v="25"/>
    <n v="4"/>
    <n v="3"/>
    <n v="80"/>
    <n v="1"/>
    <n v="7"/>
    <n v="2"/>
    <n v="3"/>
    <n v="6"/>
    <n v="5"/>
    <n v="1"/>
    <n v="2"/>
  </r>
  <r>
    <n v="36"/>
    <x v="0"/>
    <x v="1"/>
    <s v="Travel_Rarely"/>
    <n v="1351"/>
    <x v="1"/>
    <n v="26"/>
    <n v="4"/>
    <x v="0"/>
    <n v="1"/>
    <n v="1682"/>
    <n v="1"/>
    <x v="1"/>
    <n v="80"/>
    <n v="3"/>
    <n v="2"/>
    <x v="4"/>
    <n v="3"/>
    <x v="1"/>
    <n v="5347"/>
    <n v="7419"/>
    <n v="6"/>
    <s v="Y"/>
    <s v="No"/>
    <n v="14"/>
    <n v="3"/>
    <n v="2"/>
    <n v="80"/>
    <n v="2"/>
    <n v="10"/>
    <n v="2"/>
    <n v="2"/>
    <n v="3"/>
    <n v="2"/>
    <n v="0"/>
    <n v="2"/>
  </r>
  <r>
    <n v="44"/>
    <x v="0"/>
    <x v="1"/>
    <s v="Travel_Rarely"/>
    <n v="528"/>
    <x v="2"/>
    <n v="1"/>
    <n v="3"/>
    <x v="0"/>
    <n v="1"/>
    <n v="1683"/>
    <n v="3"/>
    <x v="0"/>
    <n v="44"/>
    <n v="3"/>
    <n v="1"/>
    <x v="8"/>
    <n v="4"/>
    <x v="2"/>
    <n v="3195"/>
    <n v="4167"/>
    <n v="4"/>
    <s v="Y"/>
    <s v="Yes"/>
    <n v="18"/>
    <n v="3"/>
    <n v="1"/>
    <n v="80"/>
    <n v="3"/>
    <n v="8"/>
    <n v="2"/>
    <n v="3"/>
    <n v="2"/>
    <n v="2"/>
    <n v="2"/>
    <n v="2"/>
  </r>
  <r>
    <n v="23"/>
    <x v="3"/>
    <x v="0"/>
    <s v="Travel_Rarely"/>
    <n v="1320"/>
    <x v="1"/>
    <n v="8"/>
    <n v="1"/>
    <x v="2"/>
    <n v="1"/>
    <n v="1684"/>
    <n v="4"/>
    <x v="1"/>
    <n v="93"/>
    <n v="2"/>
    <n v="1"/>
    <x v="2"/>
    <n v="3"/>
    <x v="0"/>
    <n v="3989"/>
    <n v="20586"/>
    <n v="1"/>
    <s v="Y"/>
    <s v="Yes"/>
    <n v="11"/>
    <n v="3"/>
    <n v="1"/>
    <n v="80"/>
    <n v="0"/>
    <n v="5"/>
    <n v="2"/>
    <n v="3"/>
    <n v="5"/>
    <n v="4"/>
    <n v="1"/>
    <n v="2"/>
  </r>
  <r>
    <n v="38"/>
    <x v="0"/>
    <x v="1"/>
    <s v="Travel_Rarely"/>
    <n v="1495"/>
    <x v="1"/>
    <n v="4"/>
    <n v="2"/>
    <x v="2"/>
    <n v="1"/>
    <n v="1687"/>
    <n v="4"/>
    <x v="0"/>
    <n v="87"/>
    <n v="3"/>
    <n v="1"/>
    <x v="2"/>
    <n v="3"/>
    <x v="1"/>
    <n v="3306"/>
    <n v="26176"/>
    <n v="7"/>
    <s v="Y"/>
    <s v="No"/>
    <n v="19"/>
    <n v="3"/>
    <n v="4"/>
    <n v="80"/>
    <n v="1"/>
    <n v="7"/>
    <n v="5"/>
    <n v="2"/>
    <n v="0"/>
    <n v="0"/>
    <n v="0"/>
    <n v="0"/>
  </r>
  <r>
    <n v="53"/>
    <x v="1"/>
    <x v="1"/>
    <s v="Travel_Rarely"/>
    <n v="1395"/>
    <x v="1"/>
    <n v="24"/>
    <n v="4"/>
    <x v="2"/>
    <n v="1"/>
    <n v="1689"/>
    <n v="2"/>
    <x v="1"/>
    <n v="48"/>
    <n v="4"/>
    <n v="3"/>
    <x v="4"/>
    <n v="4"/>
    <x v="1"/>
    <n v="7005"/>
    <n v="3458"/>
    <n v="3"/>
    <s v="Y"/>
    <s v="No"/>
    <n v="15"/>
    <n v="3"/>
    <n v="3"/>
    <n v="80"/>
    <n v="0"/>
    <n v="11"/>
    <n v="2"/>
    <n v="3"/>
    <n v="4"/>
    <n v="3"/>
    <n v="1"/>
    <n v="2"/>
  </r>
  <r>
    <n v="48"/>
    <x v="1"/>
    <x v="0"/>
    <s v="Travel_Frequently"/>
    <n v="708"/>
    <x v="0"/>
    <n v="7"/>
    <n v="2"/>
    <x v="2"/>
    <n v="1"/>
    <n v="1691"/>
    <n v="4"/>
    <x v="0"/>
    <n v="95"/>
    <n v="3"/>
    <n v="1"/>
    <x v="6"/>
    <n v="3"/>
    <x v="1"/>
    <n v="2655"/>
    <n v="11740"/>
    <n v="2"/>
    <s v="Y"/>
    <s v="Yes"/>
    <n v="11"/>
    <n v="3"/>
    <n v="3"/>
    <n v="80"/>
    <n v="2"/>
    <n v="19"/>
    <n v="3"/>
    <n v="3"/>
    <n v="9"/>
    <n v="7"/>
    <n v="7"/>
    <n v="7"/>
  </r>
  <r>
    <n v="32"/>
    <x v="2"/>
    <x v="0"/>
    <s v="Travel_Rarely"/>
    <n v="1259"/>
    <x v="1"/>
    <n v="2"/>
    <n v="4"/>
    <x v="0"/>
    <n v="1"/>
    <n v="1692"/>
    <n v="4"/>
    <x v="1"/>
    <n v="95"/>
    <n v="3"/>
    <n v="1"/>
    <x v="2"/>
    <n v="2"/>
    <x v="0"/>
    <n v="1393"/>
    <n v="24852"/>
    <n v="1"/>
    <s v="Y"/>
    <s v="No"/>
    <n v="12"/>
    <n v="3"/>
    <n v="1"/>
    <n v="80"/>
    <n v="0"/>
    <n v="1"/>
    <n v="2"/>
    <n v="3"/>
    <n v="1"/>
    <n v="0"/>
    <n v="0"/>
    <n v="0"/>
  </r>
  <r>
    <n v="26"/>
    <x v="2"/>
    <x v="1"/>
    <s v="Non-Travel"/>
    <n v="786"/>
    <x v="1"/>
    <n v="7"/>
    <n v="3"/>
    <x v="2"/>
    <n v="1"/>
    <n v="1693"/>
    <n v="4"/>
    <x v="1"/>
    <n v="76"/>
    <n v="3"/>
    <n v="1"/>
    <x v="2"/>
    <n v="4"/>
    <x v="0"/>
    <n v="2570"/>
    <n v="11925"/>
    <n v="1"/>
    <s v="Y"/>
    <s v="No"/>
    <n v="20"/>
    <n v="4"/>
    <n v="3"/>
    <n v="80"/>
    <n v="0"/>
    <n v="7"/>
    <n v="5"/>
    <n v="3"/>
    <n v="7"/>
    <n v="7"/>
    <n v="5"/>
    <n v="7"/>
  </r>
  <r>
    <n v="55"/>
    <x v="1"/>
    <x v="1"/>
    <s v="Travel_Rarely"/>
    <n v="1441"/>
    <x v="1"/>
    <n v="22"/>
    <n v="3"/>
    <x v="4"/>
    <n v="1"/>
    <n v="1694"/>
    <n v="1"/>
    <x v="1"/>
    <n v="94"/>
    <n v="2"/>
    <n v="1"/>
    <x v="1"/>
    <n v="2"/>
    <x v="2"/>
    <n v="3537"/>
    <n v="23737"/>
    <n v="5"/>
    <s v="Y"/>
    <s v="No"/>
    <n v="12"/>
    <n v="3"/>
    <n v="4"/>
    <n v="80"/>
    <n v="1"/>
    <n v="8"/>
    <n v="1"/>
    <n v="3"/>
    <n v="4"/>
    <n v="2"/>
    <n v="1"/>
    <n v="2"/>
  </r>
  <r>
    <n v="34"/>
    <x v="2"/>
    <x v="1"/>
    <s v="Travel_Rarely"/>
    <n v="1157"/>
    <x v="1"/>
    <n v="5"/>
    <n v="2"/>
    <x v="2"/>
    <n v="1"/>
    <n v="1696"/>
    <n v="2"/>
    <x v="1"/>
    <n v="57"/>
    <n v="2"/>
    <n v="2"/>
    <x v="2"/>
    <n v="4"/>
    <x v="1"/>
    <n v="3986"/>
    <n v="11912"/>
    <n v="1"/>
    <s v="Y"/>
    <s v="No"/>
    <n v="14"/>
    <n v="3"/>
    <n v="3"/>
    <n v="80"/>
    <n v="1"/>
    <n v="15"/>
    <n v="3"/>
    <n v="4"/>
    <n v="15"/>
    <n v="10"/>
    <n v="4"/>
    <n v="13"/>
  </r>
  <r>
    <n v="60"/>
    <x v="1"/>
    <x v="1"/>
    <s v="Travel_Rarely"/>
    <n v="370"/>
    <x v="1"/>
    <n v="1"/>
    <n v="4"/>
    <x v="2"/>
    <n v="1"/>
    <n v="1697"/>
    <n v="3"/>
    <x v="1"/>
    <n v="92"/>
    <n v="1"/>
    <n v="3"/>
    <x v="4"/>
    <n v="4"/>
    <x v="2"/>
    <n v="10883"/>
    <n v="20467"/>
    <n v="3"/>
    <s v="Y"/>
    <s v="No"/>
    <n v="20"/>
    <n v="4"/>
    <n v="3"/>
    <n v="80"/>
    <n v="1"/>
    <n v="19"/>
    <n v="2"/>
    <n v="4"/>
    <n v="1"/>
    <n v="0"/>
    <n v="0"/>
    <n v="0"/>
  </r>
  <r>
    <n v="33"/>
    <x v="2"/>
    <x v="1"/>
    <s v="Travel_Rarely"/>
    <n v="267"/>
    <x v="1"/>
    <n v="21"/>
    <n v="3"/>
    <x v="2"/>
    <n v="1"/>
    <n v="1698"/>
    <n v="2"/>
    <x v="1"/>
    <n v="79"/>
    <n v="4"/>
    <n v="1"/>
    <x v="2"/>
    <n v="2"/>
    <x v="1"/>
    <n v="2028"/>
    <n v="13637"/>
    <n v="1"/>
    <s v="Y"/>
    <s v="No"/>
    <n v="18"/>
    <n v="3"/>
    <n v="4"/>
    <n v="80"/>
    <n v="3"/>
    <n v="14"/>
    <n v="6"/>
    <n v="3"/>
    <n v="14"/>
    <n v="11"/>
    <n v="2"/>
    <n v="13"/>
  </r>
  <r>
    <n v="37"/>
    <x v="0"/>
    <x v="1"/>
    <s v="Travel_Frequently"/>
    <n v="1278"/>
    <x v="0"/>
    <n v="1"/>
    <n v="4"/>
    <x v="2"/>
    <n v="1"/>
    <n v="1700"/>
    <n v="3"/>
    <x v="1"/>
    <n v="31"/>
    <n v="1"/>
    <n v="2"/>
    <x v="0"/>
    <n v="4"/>
    <x v="2"/>
    <n v="9525"/>
    <n v="7677"/>
    <n v="1"/>
    <s v="Y"/>
    <s v="No"/>
    <n v="14"/>
    <n v="3"/>
    <n v="3"/>
    <n v="80"/>
    <n v="2"/>
    <n v="6"/>
    <n v="2"/>
    <n v="2"/>
    <n v="6"/>
    <n v="3"/>
    <n v="1"/>
    <n v="3"/>
  </r>
  <r>
    <n v="34"/>
    <x v="2"/>
    <x v="1"/>
    <s v="Travel_Rarely"/>
    <n v="678"/>
    <x v="1"/>
    <n v="19"/>
    <n v="3"/>
    <x v="0"/>
    <n v="1"/>
    <n v="1701"/>
    <n v="2"/>
    <x v="0"/>
    <n v="35"/>
    <n v="2"/>
    <n v="1"/>
    <x v="1"/>
    <n v="4"/>
    <x v="1"/>
    <n v="2929"/>
    <n v="20338"/>
    <n v="1"/>
    <s v="Y"/>
    <s v="No"/>
    <n v="12"/>
    <n v="3"/>
    <n v="2"/>
    <n v="80"/>
    <n v="0"/>
    <n v="10"/>
    <n v="3"/>
    <n v="3"/>
    <n v="10"/>
    <n v="9"/>
    <n v="8"/>
    <n v="7"/>
  </r>
  <r>
    <n v="23"/>
    <x v="3"/>
    <x v="0"/>
    <s v="Travel_Rarely"/>
    <n v="427"/>
    <x v="0"/>
    <n v="7"/>
    <n v="3"/>
    <x v="0"/>
    <n v="1"/>
    <n v="1702"/>
    <n v="3"/>
    <x v="1"/>
    <n v="99"/>
    <n v="3"/>
    <n v="1"/>
    <x v="6"/>
    <n v="4"/>
    <x v="2"/>
    <n v="2275"/>
    <n v="25103"/>
    <n v="1"/>
    <s v="Y"/>
    <s v="Yes"/>
    <n v="21"/>
    <n v="4"/>
    <n v="2"/>
    <n v="80"/>
    <n v="1"/>
    <n v="3"/>
    <n v="2"/>
    <n v="3"/>
    <n v="3"/>
    <n v="2"/>
    <n v="0"/>
    <n v="2"/>
  </r>
  <r>
    <n v="44"/>
    <x v="0"/>
    <x v="1"/>
    <s v="Travel_Rarely"/>
    <n v="921"/>
    <x v="1"/>
    <n v="2"/>
    <n v="3"/>
    <x v="0"/>
    <n v="1"/>
    <n v="1703"/>
    <n v="3"/>
    <x v="0"/>
    <n v="96"/>
    <n v="4"/>
    <n v="3"/>
    <x v="4"/>
    <n v="4"/>
    <x v="1"/>
    <n v="7879"/>
    <n v="14810"/>
    <n v="1"/>
    <s v="Y"/>
    <s v="Yes"/>
    <n v="19"/>
    <n v="3"/>
    <n v="2"/>
    <n v="80"/>
    <n v="1"/>
    <n v="9"/>
    <n v="2"/>
    <n v="3"/>
    <n v="8"/>
    <n v="7"/>
    <n v="6"/>
    <n v="7"/>
  </r>
  <r>
    <n v="35"/>
    <x v="2"/>
    <x v="1"/>
    <s v="Travel_Frequently"/>
    <n v="146"/>
    <x v="1"/>
    <n v="2"/>
    <n v="4"/>
    <x v="2"/>
    <n v="1"/>
    <n v="1704"/>
    <n v="1"/>
    <x v="1"/>
    <n v="79"/>
    <n v="2"/>
    <n v="1"/>
    <x v="1"/>
    <n v="4"/>
    <x v="0"/>
    <n v="4930"/>
    <n v="13970"/>
    <n v="0"/>
    <s v="Y"/>
    <s v="Yes"/>
    <n v="14"/>
    <n v="3"/>
    <n v="3"/>
    <n v="80"/>
    <n v="0"/>
    <n v="6"/>
    <n v="2"/>
    <n v="4"/>
    <n v="5"/>
    <n v="4"/>
    <n v="1"/>
    <n v="4"/>
  </r>
  <r>
    <n v="43"/>
    <x v="0"/>
    <x v="1"/>
    <s v="Travel_Rarely"/>
    <n v="1179"/>
    <x v="0"/>
    <n v="2"/>
    <n v="3"/>
    <x v="2"/>
    <n v="1"/>
    <n v="1706"/>
    <n v="4"/>
    <x v="1"/>
    <n v="73"/>
    <n v="3"/>
    <n v="2"/>
    <x v="0"/>
    <n v="4"/>
    <x v="1"/>
    <n v="7847"/>
    <n v="6069"/>
    <n v="1"/>
    <s v="Y"/>
    <s v="Yes"/>
    <n v="17"/>
    <n v="3"/>
    <n v="1"/>
    <n v="80"/>
    <n v="1"/>
    <n v="10"/>
    <n v="3"/>
    <n v="3"/>
    <n v="10"/>
    <n v="9"/>
    <n v="8"/>
    <n v="8"/>
  </r>
  <r>
    <n v="24"/>
    <x v="3"/>
    <x v="1"/>
    <s v="Travel_Rarely"/>
    <n v="581"/>
    <x v="1"/>
    <n v="9"/>
    <n v="3"/>
    <x v="2"/>
    <n v="1"/>
    <n v="1707"/>
    <n v="3"/>
    <x v="1"/>
    <n v="62"/>
    <n v="4"/>
    <n v="1"/>
    <x v="1"/>
    <n v="3"/>
    <x v="1"/>
    <n v="4401"/>
    <n v="17616"/>
    <n v="1"/>
    <s v="Y"/>
    <s v="No"/>
    <n v="16"/>
    <n v="3"/>
    <n v="4"/>
    <n v="80"/>
    <n v="1"/>
    <n v="5"/>
    <n v="1"/>
    <n v="3"/>
    <n v="5"/>
    <n v="3"/>
    <n v="0"/>
    <n v="4"/>
  </r>
  <r>
    <n v="41"/>
    <x v="0"/>
    <x v="1"/>
    <s v="Travel_Rarely"/>
    <n v="918"/>
    <x v="0"/>
    <n v="6"/>
    <n v="3"/>
    <x v="3"/>
    <n v="1"/>
    <n v="1708"/>
    <n v="4"/>
    <x v="1"/>
    <n v="35"/>
    <n v="3"/>
    <n v="3"/>
    <x v="0"/>
    <n v="3"/>
    <x v="0"/>
    <n v="9241"/>
    <n v="15869"/>
    <n v="1"/>
    <s v="Y"/>
    <s v="No"/>
    <n v="12"/>
    <n v="3"/>
    <n v="2"/>
    <n v="80"/>
    <n v="0"/>
    <n v="10"/>
    <n v="3"/>
    <n v="3"/>
    <n v="10"/>
    <n v="8"/>
    <n v="8"/>
    <n v="7"/>
  </r>
  <r>
    <n v="29"/>
    <x v="2"/>
    <x v="1"/>
    <s v="Travel_Rarely"/>
    <n v="1082"/>
    <x v="1"/>
    <n v="9"/>
    <n v="4"/>
    <x v="2"/>
    <n v="1"/>
    <n v="1709"/>
    <n v="4"/>
    <x v="0"/>
    <n v="43"/>
    <n v="3"/>
    <n v="1"/>
    <x v="2"/>
    <n v="3"/>
    <x v="1"/>
    <n v="2974"/>
    <n v="25412"/>
    <n v="9"/>
    <s v="Y"/>
    <s v="No"/>
    <n v="17"/>
    <n v="3"/>
    <n v="3"/>
    <n v="80"/>
    <n v="1"/>
    <n v="9"/>
    <n v="2"/>
    <n v="3"/>
    <n v="5"/>
    <n v="3"/>
    <n v="1"/>
    <n v="2"/>
  </r>
  <r>
    <n v="36"/>
    <x v="0"/>
    <x v="1"/>
    <s v="Travel_Rarely"/>
    <n v="530"/>
    <x v="0"/>
    <n v="2"/>
    <n v="4"/>
    <x v="0"/>
    <n v="1"/>
    <n v="1710"/>
    <n v="3"/>
    <x v="0"/>
    <n v="51"/>
    <n v="3"/>
    <n v="2"/>
    <x v="6"/>
    <n v="4"/>
    <x v="0"/>
    <n v="4502"/>
    <n v="7439"/>
    <n v="3"/>
    <s v="Y"/>
    <s v="No"/>
    <n v="15"/>
    <n v="3"/>
    <n v="3"/>
    <n v="80"/>
    <n v="0"/>
    <n v="17"/>
    <n v="2"/>
    <n v="2"/>
    <n v="13"/>
    <n v="7"/>
    <n v="6"/>
    <n v="7"/>
  </r>
  <r>
    <n v="45"/>
    <x v="0"/>
    <x v="1"/>
    <s v="Non-Travel"/>
    <n v="1238"/>
    <x v="1"/>
    <n v="1"/>
    <n v="1"/>
    <x v="0"/>
    <n v="1"/>
    <n v="1712"/>
    <n v="3"/>
    <x v="1"/>
    <n v="74"/>
    <n v="2"/>
    <n v="3"/>
    <x v="4"/>
    <n v="3"/>
    <x v="1"/>
    <n v="10748"/>
    <n v="3395"/>
    <n v="3"/>
    <s v="Y"/>
    <s v="No"/>
    <n v="23"/>
    <n v="4"/>
    <n v="4"/>
    <n v="80"/>
    <n v="1"/>
    <n v="25"/>
    <n v="3"/>
    <n v="2"/>
    <n v="23"/>
    <n v="15"/>
    <n v="14"/>
    <n v="4"/>
  </r>
  <r>
    <n v="24"/>
    <x v="3"/>
    <x v="0"/>
    <s v="Travel_Rarely"/>
    <n v="240"/>
    <x v="2"/>
    <n v="22"/>
    <n v="1"/>
    <x v="5"/>
    <n v="1"/>
    <n v="1714"/>
    <n v="4"/>
    <x v="1"/>
    <n v="58"/>
    <n v="1"/>
    <n v="1"/>
    <x v="8"/>
    <n v="3"/>
    <x v="1"/>
    <n v="1555"/>
    <n v="11585"/>
    <n v="1"/>
    <s v="Y"/>
    <s v="No"/>
    <n v="11"/>
    <n v="3"/>
    <n v="3"/>
    <n v="80"/>
    <n v="1"/>
    <n v="1"/>
    <n v="2"/>
    <n v="3"/>
    <n v="1"/>
    <n v="0"/>
    <n v="0"/>
    <n v="0"/>
  </r>
  <r>
    <n v="47"/>
    <x v="1"/>
    <x v="0"/>
    <s v="Travel_Frequently"/>
    <n v="1093"/>
    <x v="0"/>
    <n v="9"/>
    <n v="3"/>
    <x v="0"/>
    <n v="1"/>
    <n v="1716"/>
    <n v="3"/>
    <x v="1"/>
    <n v="82"/>
    <n v="1"/>
    <n v="4"/>
    <x v="0"/>
    <n v="3"/>
    <x v="1"/>
    <n v="12936"/>
    <n v="24164"/>
    <n v="7"/>
    <s v="Y"/>
    <s v="No"/>
    <n v="11"/>
    <n v="3"/>
    <n v="3"/>
    <n v="80"/>
    <n v="0"/>
    <n v="25"/>
    <n v="3"/>
    <n v="1"/>
    <n v="23"/>
    <n v="5"/>
    <n v="14"/>
    <n v="10"/>
  </r>
  <r>
    <n v="26"/>
    <x v="2"/>
    <x v="1"/>
    <s v="Travel_Rarely"/>
    <n v="390"/>
    <x v="1"/>
    <n v="17"/>
    <n v="4"/>
    <x v="2"/>
    <n v="1"/>
    <n v="1718"/>
    <n v="4"/>
    <x v="1"/>
    <n v="62"/>
    <n v="1"/>
    <n v="1"/>
    <x v="2"/>
    <n v="3"/>
    <x v="1"/>
    <n v="2305"/>
    <n v="6217"/>
    <n v="1"/>
    <s v="Y"/>
    <s v="No"/>
    <n v="15"/>
    <n v="3"/>
    <n v="3"/>
    <n v="80"/>
    <n v="3"/>
    <n v="3"/>
    <n v="3"/>
    <n v="4"/>
    <n v="3"/>
    <n v="2"/>
    <n v="0"/>
    <n v="2"/>
  </r>
  <r>
    <n v="45"/>
    <x v="0"/>
    <x v="1"/>
    <s v="Travel_Rarely"/>
    <n v="1005"/>
    <x v="1"/>
    <n v="28"/>
    <n v="2"/>
    <x v="4"/>
    <n v="1"/>
    <n v="1719"/>
    <n v="4"/>
    <x v="0"/>
    <n v="48"/>
    <n v="2"/>
    <n v="4"/>
    <x v="7"/>
    <n v="2"/>
    <x v="0"/>
    <n v="16704"/>
    <n v="17119"/>
    <n v="1"/>
    <s v="Y"/>
    <s v="No"/>
    <n v="11"/>
    <n v="3"/>
    <n v="3"/>
    <n v="80"/>
    <n v="0"/>
    <n v="21"/>
    <n v="2"/>
    <n v="3"/>
    <n v="21"/>
    <n v="6"/>
    <n v="8"/>
    <n v="6"/>
  </r>
  <r>
    <n v="32"/>
    <x v="2"/>
    <x v="1"/>
    <s v="Travel_Frequently"/>
    <n v="585"/>
    <x v="1"/>
    <n v="10"/>
    <n v="3"/>
    <x v="0"/>
    <n v="1"/>
    <n v="1720"/>
    <n v="1"/>
    <x v="1"/>
    <n v="56"/>
    <n v="3"/>
    <n v="1"/>
    <x v="1"/>
    <n v="3"/>
    <x v="1"/>
    <n v="3433"/>
    <n v="17360"/>
    <n v="6"/>
    <s v="Y"/>
    <s v="No"/>
    <n v="13"/>
    <n v="3"/>
    <n v="1"/>
    <n v="80"/>
    <n v="1"/>
    <n v="10"/>
    <n v="3"/>
    <n v="2"/>
    <n v="5"/>
    <n v="2"/>
    <n v="1"/>
    <n v="3"/>
  </r>
  <r>
    <n v="31"/>
    <x v="2"/>
    <x v="1"/>
    <s v="Travel_Rarely"/>
    <n v="741"/>
    <x v="1"/>
    <n v="2"/>
    <n v="4"/>
    <x v="0"/>
    <n v="1"/>
    <n v="1721"/>
    <n v="2"/>
    <x v="1"/>
    <n v="69"/>
    <n v="3"/>
    <n v="1"/>
    <x v="2"/>
    <n v="3"/>
    <x v="1"/>
    <n v="3477"/>
    <n v="18103"/>
    <n v="1"/>
    <s v="Y"/>
    <s v="No"/>
    <n v="14"/>
    <n v="3"/>
    <n v="4"/>
    <n v="80"/>
    <n v="1"/>
    <n v="6"/>
    <n v="2"/>
    <n v="4"/>
    <n v="5"/>
    <n v="2"/>
    <n v="0"/>
    <n v="3"/>
  </r>
  <r>
    <n v="41"/>
    <x v="0"/>
    <x v="1"/>
    <s v="Non-Travel"/>
    <n v="552"/>
    <x v="2"/>
    <n v="4"/>
    <n v="3"/>
    <x v="5"/>
    <n v="1"/>
    <n v="1722"/>
    <n v="3"/>
    <x v="1"/>
    <n v="60"/>
    <n v="1"/>
    <n v="2"/>
    <x v="8"/>
    <n v="2"/>
    <x v="1"/>
    <n v="6430"/>
    <n v="20794"/>
    <n v="6"/>
    <s v="Y"/>
    <s v="No"/>
    <n v="19"/>
    <n v="3"/>
    <n v="2"/>
    <n v="80"/>
    <n v="1"/>
    <n v="10"/>
    <n v="4"/>
    <n v="3"/>
    <n v="3"/>
    <n v="2"/>
    <n v="1"/>
    <n v="2"/>
  </r>
  <r>
    <n v="40"/>
    <x v="0"/>
    <x v="1"/>
    <s v="Travel_Rarely"/>
    <n v="369"/>
    <x v="1"/>
    <n v="8"/>
    <n v="2"/>
    <x v="0"/>
    <n v="1"/>
    <n v="1724"/>
    <n v="2"/>
    <x v="0"/>
    <n v="92"/>
    <n v="3"/>
    <n v="2"/>
    <x v="3"/>
    <n v="1"/>
    <x v="1"/>
    <n v="6516"/>
    <n v="5041"/>
    <n v="2"/>
    <s v="Y"/>
    <s v="Yes"/>
    <n v="16"/>
    <n v="3"/>
    <n v="2"/>
    <n v="80"/>
    <n v="1"/>
    <n v="18"/>
    <n v="3"/>
    <n v="3"/>
    <n v="1"/>
    <n v="0"/>
    <n v="0"/>
    <n v="0"/>
  </r>
  <r>
    <n v="24"/>
    <x v="3"/>
    <x v="1"/>
    <s v="Travel_Rarely"/>
    <n v="506"/>
    <x v="1"/>
    <n v="29"/>
    <n v="1"/>
    <x v="2"/>
    <n v="1"/>
    <n v="1725"/>
    <n v="2"/>
    <x v="1"/>
    <n v="91"/>
    <n v="3"/>
    <n v="1"/>
    <x v="2"/>
    <n v="1"/>
    <x v="2"/>
    <n v="3907"/>
    <n v="3622"/>
    <n v="1"/>
    <s v="Y"/>
    <s v="No"/>
    <n v="13"/>
    <n v="3"/>
    <n v="2"/>
    <n v="80"/>
    <n v="3"/>
    <n v="6"/>
    <n v="2"/>
    <n v="4"/>
    <n v="6"/>
    <n v="2"/>
    <n v="1"/>
    <n v="2"/>
  </r>
  <r>
    <n v="46"/>
    <x v="1"/>
    <x v="1"/>
    <s v="Travel_Rarely"/>
    <n v="717"/>
    <x v="1"/>
    <n v="13"/>
    <n v="4"/>
    <x v="0"/>
    <n v="1"/>
    <n v="1727"/>
    <n v="3"/>
    <x v="1"/>
    <n v="34"/>
    <n v="3"/>
    <n v="2"/>
    <x v="4"/>
    <n v="2"/>
    <x v="0"/>
    <n v="5562"/>
    <n v="9697"/>
    <n v="6"/>
    <s v="Y"/>
    <s v="No"/>
    <n v="14"/>
    <n v="3"/>
    <n v="4"/>
    <n v="80"/>
    <n v="0"/>
    <n v="19"/>
    <n v="3"/>
    <n v="3"/>
    <n v="10"/>
    <n v="7"/>
    <n v="0"/>
    <n v="9"/>
  </r>
  <r>
    <n v="35"/>
    <x v="2"/>
    <x v="1"/>
    <s v="Travel_Rarely"/>
    <n v="1370"/>
    <x v="1"/>
    <n v="27"/>
    <n v="4"/>
    <x v="0"/>
    <n v="1"/>
    <n v="1728"/>
    <n v="4"/>
    <x v="1"/>
    <n v="49"/>
    <n v="3"/>
    <n v="2"/>
    <x v="3"/>
    <n v="3"/>
    <x v="1"/>
    <n v="6883"/>
    <n v="5151"/>
    <n v="2"/>
    <s v="Y"/>
    <s v="No"/>
    <n v="16"/>
    <n v="3"/>
    <n v="2"/>
    <n v="80"/>
    <n v="1"/>
    <n v="17"/>
    <n v="3"/>
    <n v="3"/>
    <n v="7"/>
    <n v="7"/>
    <n v="0"/>
    <n v="7"/>
  </r>
  <r>
    <n v="30"/>
    <x v="2"/>
    <x v="1"/>
    <s v="Travel_Rarely"/>
    <n v="793"/>
    <x v="1"/>
    <n v="16"/>
    <n v="1"/>
    <x v="0"/>
    <n v="1"/>
    <n v="1729"/>
    <n v="2"/>
    <x v="1"/>
    <n v="33"/>
    <n v="3"/>
    <n v="1"/>
    <x v="1"/>
    <n v="4"/>
    <x v="1"/>
    <n v="2862"/>
    <n v="3811"/>
    <n v="1"/>
    <s v="Y"/>
    <s v="No"/>
    <n v="12"/>
    <n v="3"/>
    <n v="2"/>
    <n v="80"/>
    <n v="1"/>
    <n v="10"/>
    <n v="2"/>
    <n v="2"/>
    <n v="10"/>
    <n v="0"/>
    <n v="0"/>
    <n v="8"/>
  </r>
  <r>
    <n v="47"/>
    <x v="1"/>
    <x v="1"/>
    <s v="Non-Travel"/>
    <n v="543"/>
    <x v="0"/>
    <n v="2"/>
    <n v="4"/>
    <x v="3"/>
    <n v="1"/>
    <n v="1731"/>
    <n v="3"/>
    <x v="1"/>
    <n v="87"/>
    <n v="3"/>
    <n v="2"/>
    <x v="0"/>
    <n v="2"/>
    <x v="1"/>
    <n v="4978"/>
    <n v="3536"/>
    <n v="7"/>
    <s v="Y"/>
    <s v="No"/>
    <n v="11"/>
    <n v="3"/>
    <n v="4"/>
    <n v="80"/>
    <n v="1"/>
    <n v="4"/>
    <n v="3"/>
    <n v="1"/>
    <n v="1"/>
    <n v="0"/>
    <n v="0"/>
    <n v="0"/>
  </r>
  <r>
    <n v="46"/>
    <x v="1"/>
    <x v="1"/>
    <s v="Travel_Rarely"/>
    <n v="1277"/>
    <x v="0"/>
    <n v="2"/>
    <n v="3"/>
    <x v="0"/>
    <n v="1"/>
    <n v="1732"/>
    <n v="3"/>
    <x v="1"/>
    <n v="74"/>
    <n v="3"/>
    <n v="3"/>
    <x v="0"/>
    <n v="4"/>
    <x v="2"/>
    <n v="10368"/>
    <n v="5596"/>
    <n v="4"/>
    <s v="Y"/>
    <s v="Yes"/>
    <n v="12"/>
    <n v="3"/>
    <n v="2"/>
    <n v="80"/>
    <n v="1"/>
    <n v="13"/>
    <n v="5"/>
    <n v="2"/>
    <n v="10"/>
    <n v="6"/>
    <n v="0"/>
    <n v="3"/>
  </r>
  <r>
    <n v="36"/>
    <x v="0"/>
    <x v="0"/>
    <s v="Travel_Rarely"/>
    <n v="1456"/>
    <x v="0"/>
    <n v="13"/>
    <n v="5"/>
    <x v="3"/>
    <n v="1"/>
    <n v="1733"/>
    <n v="2"/>
    <x v="1"/>
    <n v="96"/>
    <n v="2"/>
    <n v="2"/>
    <x v="0"/>
    <n v="1"/>
    <x v="2"/>
    <n v="6134"/>
    <n v="8658"/>
    <n v="5"/>
    <s v="Y"/>
    <s v="Yes"/>
    <n v="13"/>
    <n v="3"/>
    <n v="2"/>
    <n v="80"/>
    <n v="3"/>
    <n v="16"/>
    <n v="3"/>
    <n v="3"/>
    <n v="2"/>
    <n v="2"/>
    <n v="2"/>
    <n v="2"/>
  </r>
  <r>
    <n v="32"/>
    <x v="2"/>
    <x v="0"/>
    <s v="Travel_Rarely"/>
    <n v="964"/>
    <x v="0"/>
    <n v="1"/>
    <n v="2"/>
    <x v="0"/>
    <n v="1"/>
    <n v="1734"/>
    <n v="1"/>
    <x v="1"/>
    <n v="34"/>
    <n v="1"/>
    <n v="2"/>
    <x v="0"/>
    <n v="2"/>
    <x v="0"/>
    <n v="6735"/>
    <n v="12147"/>
    <n v="6"/>
    <s v="Y"/>
    <s v="No"/>
    <n v="15"/>
    <n v="3"/>
    <n v="2"/>
    <n v="80"/>
    <n v="0"/>
    <n v="10"/>
    <n v="2"/>
    <n v="3"/>
    <n v="0"/>
    <n v="0"/>
    <n v="0"/>
    <n v="0"/>
  </r>
  <r>
    <n v="23"/>
    <x v="3"/>
    <x v="1"/>
    <s v="Travel_Rarely"/>
    <n v="160"/>
    <x v="1"/>
    <n v="4"/>
    <n v="1"/>
    <x v="2"/>
    <n v="1"/>
    <n v="1735"/>
    <n v="3"/>
    <x v="0"/>
    <n v="51"/>
    <n v="3"/>
    <n v="1"/>
    <x v="2"/>
    <n v="2"/>
    <x v="0"/>
    <n v="3295"/>
    <n v="12862"/>
    <n v="1"/>
    <s v="Y"/>
    <s v="No"/>
    <n v="13"/>
    <n v="3"/>
    <n v="3"/>
    <n v="80"/>
    <n v="0"/>
    <n v="3"/>
    <n v="3"/>
    <n v="1"/>
    <n v="3"/>
    <n v="2"/>
    <n v="1"/>
    <n v="2"/>
  </r>
  <r>
    <n v="31"/>
    <x v="2"/>
    <x v="1"/>
    <s v="Travel_Frequently"/>
    <n v="163"/>
    <x v="1"/>
    <n v="24"/>
    <n v="1"/>
    <x v="4"/>
    <n v="1"/>
    <n v="1736"/>
    <n v="4"/>
    <x v="0"/>
    <n v="30"/>
    <n v="3"/>
    <n v="2"/>
    <x v="3"/>
    <n v="4"/>
    <x v="0"/>
    <n v="5238"/>
    <n v="6670"/>
    <n v="2"/>
    <s v="Y"/>
    <s v="No"/>
    <n v="20"/>
    <n v="4"/>
    <n v="4"/>
    <n v="80"/>
    <n v="0"/>
    <n v="9"/>
    <n v="3"/>
    <n v="2"/>
    <n v="5"/>
    <n v="4"/>
    <n v="1"/>
    <n v="4"/>
  </r>
  <r>
    <n v="39"/>
    <x v="0"/>
    <x v="1"/>
    <s v="Non-Travel"/>
    <n v="792"/>
    <x v="1"/>
    <n v="1"/>
    <n v="3"/>
    <x v="0"/>
    <n v="1"/>
    <n v="1737"/>
    <n v="4"/>
    <x v="1"/>
    <n v="77"/>
    <n v="3"/>
    <n v="2"/>
    <x v="2"/>
    <n v="4"/>
    <x v="1"/>
    <n v="6472"/>
    <n v="8989"/>
    <n v="1"/>
    <s v="Y"/>
    <s v="Yes"/>
    <n v="15"/>
    <n v="3"/>
    <n v="4"/>
    <n v="80"/>
    <n v="1"/>
    <n v="9"/>
    <n v="2"/>
    <n v="3"/>
    <n v="9"/>
    <n v="8"/>
    <n v="5"/>
    <n v="8"/>
  </r>
  <r>
    <n v="32"/>
    <x v="2"/>
    <x v="1"/>
    <s v="Travel_Rarely"/>
    <n v="371"/>
    <x v="0"/>
    <n v="19"/>
    <n v="3"/>
    <x v="0"/>
    <n v="1"/>
    <n v="1739"/>
    <n v="4"/>
    <x v="1"/>
    <n v="80"/>
    <n v="1"/>
    <n v="3"/>
    <x v="0"/>
    <n v="3"/>
    <x v="1"/>
    <n v="9610"/>
    <n v="3840"/>
    <n v="3"/>
    <s v="Y"/>
    <s v="No"/>
    <n v="13"/>
    <n v="3"/>
    <n v="3"/>
    <n v="80"/>
    <n v="1"/>
    <n v="10"/>
    <n v="2"/>
    <n v="1"/>
    <n v="4"/>
    <n v="3"/>
    <n v="0"/>
    <n v="2"/>
  </r>
  <r>
    <n v="40"/>
    <x v="0"/>
    <x v="1"/>
    <s v="Travel_Rarely"/>
    <n v="611"/>
    <x v="0"/>
    <n v="7"/>
    <n v="4"/>
    <x v="2"/>
    <n v="1"/>
    <n v="1740"/>
    <n v="2"/>
    <x v="1"/>
    <n v="88"/>
    <n v="3"/>
    <n v="5"/>
    <x v="5"/>
    <n v="2"/>
    <x v="0"/>
    <n v="19833"/>
    <n v="4349"/>
    <n v="1"/>
    <s v="Y"/>
    <s v="No"/>
    <n v="14"/>
    <n v="3"/>
    <n v="2"/>
    <n v="80"/>
    <n v="0"/>
    <n v="21"/>
    <n v="3"/>
    <n v="2"/>
    <n v="21"/>
    <n v="8"/>
    <n v="12"/>
    <n v="8"/>
  </r>
  <r>
    <n v="45"/>
    <x v="0"/>
    <x v="1"/>
    <s v="Travel_Rarely"/>
    <n v="176"/>
    <x v="2"/>
    <n v="4"/>
    <n v="3"/>
    <x v="0"/>
    <n v="1"/>
    <n v="1744"/>
    <n v="3"/>
    <x v="0"/>
    <n v="56"/>
    <n v="1"/>
    <n v="3"/>
    <x v="8"/>
    <n v="3"/>
    <x v="1"/>
    <n v="9756"/>
    <n v="6595"/>
    <n v="4"/>
    <s v="Y"/>
    <s v="No"/>
    <n v="21"/>
    <n v="4"/>
    <n v="3"/>
    <n v="80"/>
    <n v="2"/>
    <n v="9"/>
    <n v="2"/>
    <n v="4"/>
    <n v="5"/>
    <n v="0"/>
    <n v="0"/>
    <n v="3"/>
  </r>
  <r>
    <n v="30"/>
    <x v="2"/>
    <x v="1"/>
    <s v="Travel_Frequently"/>
    <n v="1312"/>
    <x v="1"/>
    <n v="2"/>
    <n v="4"/>
    <x v="4"/>
    <n v="1"/>
    <n v="1745"/>
    <n v="4"/>
    <x v="0"/>
    <n v="78"/>
    <n v="2"/>
    <n v="1"/>
    <x v="1"/>
    <n v="1"/>
    <x v="0"/>
    <n v="4968"/>
    <n v="26427"/>
    <n v="0"/>
    <s v="Y"/>
    <s v="No"/>
    <n v="16"/>
    <n v="3"/>
    <n v="4"/>
    <n v="80"/>
    <n v="0"/>
    <n v="10"/>
    <n v="2"/>
    <n v="3"/>
    <n v="9"/>
    <n v="7"/>
    <n v="0"/>
    <n v="7"/>
  </r>
  <r>
    <n v="24"/>
    <x v="3"/>
    <x v="1"/>
    <s v="Travel_Frequently"/>
    <n v="897"/>
    <x v="2"/>
    <n v="10"/>
    <n v="3"/>
    <x v="2"/>
    <n v="1"/>
    <n v="1746"/>
    <n v="1"/>
    <x v="1"/>
    <n v="59"/>
    <n v="3"/>
    <n v="1"/>
    <x v="8"/>
    <n v="4"/>
    <x v="1"/>
    <n v="2145"/>
    <n v="2097"/>
    <n v="0"/>
    <s v="Y"/>
    <s v="No"/>
    <n v="14"/>
    <n v="3"/>
    <n v="4"/>
    <n v="80"/>
    <n v="1"/>
    <n v="3"/>
    <n v="2"/>
    <n v="3"/>
    <n v="2"/>
    <n v="2"/>
    <n v="2"/>
    <n v="1"/>
  </r>
  <r>
    <n v="30"/>
    <x v="2"/>
    <x v="0"/>
    <s v="Travel_Frequently"/>
    <n v="600"/>
    <x v="2"/>
    <n v="8"/>
    <n v="3"/>
    <x v="5"/>
    <n v="1"/>
    <n v="1747"/>
    <n v="3"/>
    <x v="0"/>
    <n v="66"/>
    <n v="2"/>
    <n v="1"/>
    <x v="8"/>
    <n v="4"/>
    <x v="2"/>
    <n v="2180"/>
    <n v="9732"/>
    <n v="6"/>
    <s v="Y"/>
    <s v="No"/>
    <n v="11"/>
    <n v="3"/>
    <n v="3"/>
    <n v="80"/>
    <n v="1"/>
    <n v="6"/>
    <n v="0"/>
    <n v="2"/>
    <n v="4"/>
    <n v="2"/>
    <n v="1"/>
    <n v="2"/>
  </r>
  <r>
    <n v="31"/>
    <x v="2"/>
    <x v="1"/>
    <s v="Travel_Rarely"/>
    <n v="1003"/>
    <x v="0"/>
    <n v="5"/>
    <n v="3"/>
    <x v="4"/>
    <n v="1"/>
    <n v="1749"/>
    <n v="1"/>
    <x v="1"/>
    <n v="51"/>
    <n v="3"/>
    <n v="2"/>
    <x v="0"/>
    <n v="3"/>
    <x v="1"/>
    <n v="8346"/>
    <n v="20943"/>
    <n v="1"/>
    <s v="Y"/>
    <s v="No"/>
    <n v="19"/>
    <n v="3"/>
    <n v="3"/>
    <n v="80"/>
    <n v="1"/>
    <n v="6"/>
    <n v="3"/>
    <n v="3"/>
    <n v="5"/>
    <n v="2"/>
    <n v="0"/>
    <n v="2"/>
  </r>
  <r>
    <n v="27"/>
    <x v="2"/>
    <x v="1"/>
    <s v="Travel_Rarely"/>
    <n v="1054"/>
    <x v="1"/>
    <n v="8"/>
    <n v="3"/>
    <x v="2"/>
    <n v="1"/>
    <n v="1751"/>
    <n v="3"/>
    <x v="0"/>
    <n v="67"/>
    <n v="3"/>
    <n v="1"/>
    <x v="1"/>
    <n v="4"/>
    <x v="0"/>
    <n v="3445"/>
    <n v="6152"/>
    <n v="1"/>
    <s v="Y"/>
    <s v="No"/>
    <n v="11"/>
    <n v="3"/>
    <n v="3"/>
    <n v="80"/>
    <n v="0"/>
    <n v="6"/>
    <n v="5"/>
    <n v="2"/>
    <n v="6"/>
    <n v="2"/>
    <n v="1"/>
    <n v="4"/>
  </r>
  <r>
    <n v="29"/>
    <x v="2"/>
    <x v="0"/>
    <s v="Travel_Rarely"/>
    <n v="428"/>
    <x v="0"/>
    <n v="9"/>
    <n v="3"/>
    <x v="3"/>
    <n v="1"/>
    <n v="1752"/>
    <n v="2"/>
    <x v="0"/>
    <n v="52"/>
    <n v="1"/>
    <n v="1"/>
    <x v="6"/>
    <n v="2"/>
    <x v="0"/>
    <n v="2760"/>
    <n v="14630"/>
    <n v="1"/>
    <s v="Y"/>
    <s v="No"/>
    <n v="13"/>
    <n v="3"/>
    <n v="3"/>
    <n v="80"/>
    <n v="0"/>
    <n v="2"/>
    <n v="3"/>
    <n v="3"/>
    <n v="2"/>
    <n v="2"/>
    <n v="2"/>
    <n v="2"/>
  </r>
  <r>
    <n v="29"/>
    <x v="2"/>
    <x v="1"/>
    <s v="Travel_Frequently"/>
    <n v="461"/>
    <x v="1"/>
    <n v="1"/>
    <n v="3"/>
    <x v="0"/>
    <n v="1"/>
    <n v="1753"/>
    <n v="4"/>
    <x v="1"/>
    <n v="70"/>
    <n v="4"/>
    <n v="2"/>
    <x v="4"/>
    <n v="3"/>
    <x v="0"/>
    <n v="6294"/>
    <n v="23060"/>
    <n v="8"/>
    <s v="Y"/>
    <s v="Yes"/>
    <n v="12"/>
    <n v="3"/>
    <n v="4"/>
    <n v="80"/>
    <n v="0"/>
    <n v="10"/>
    <n v="5"/>
    <n v="4"/>
    <n v="3"/>
    <n v="2"/>
    <n v="0"/>
    <n v="2"/>
  </r>
  <r>
    <n v="30"/>
    <x v="2"/>
    <x v="1"/>
    <s v="Travel_Rarely"/>
    <n v="979"/>
    <x v="0"/>
    <n v="15"/>
    <n v="2"/>
    <x v="3"/>
    <n v="1"/>
    <n v="1754"/>
    <n v="3"/>
    <x v="1"/>
    <n v="94"/>
    <n v="2"/>
    <n v="3"/>
    <x v="0"/>
    <n v="1"/>
    <x v="2"/>
    <n v="7140"/>
    <n v="3088"/>
    <n v="2"/>
    <s v="Y"/>
    <s v="No"/>
    <n v="11"/>
    <n v="3"/>
    <n v="1"/>
    <n v="80"/>
    <n v="1"/>
    <n v="12"/>
    <n v="2"/>
    <n v="3"/>
    <n v="7"/>
    <n v="7"/>
    <n v="1"/>
    <n v="7"/>
  </r>
  <r>
    <n v="34"/>
    <x v="2"/>
    <x v="1"/>
    <s v="Travel_Rarely"/>
    <n v="181"/>
    <x v="1"/>
    <n v="2"/>
    <n v="4"/>
    <x v="2"/>
    <n v="1"/>
    <n v="1755"/>
    <n v="4"/>
    <x v="1"/>
    <n v="97"/>
    <n v="4"/>
    <n v="1"/>
    <x v="1"/>
    <n v="4"/>
    <x v="1"/>
    <n v="2932"/>
    <n v="5586"/>
    <n v="0"/>
    <s v="Y"/>
    <s v="Yes"/>
    <n v="14"/>
    <n v="3"/>
    <n v="1"/>
    <n v="80"/>
    <n v="3"/>
    <n v="6"/>
    <n v="3"/>
    <n v="3"/>
    <n v="5"/>
    <n v="0"/>
    <n v="1"/>
    <n v="2"/>
  </r>
  <r>
    <n v="33"/>
    <x v="2"/>
    <x v="1"/>
    <s v="Non-Travel"/>
    <n v="1283"/>
    <x v="0"/>
    <n v="2"/>
    <n v="3"/>
    <x v="3"/>
    <n v="1"/>
    <n v="1756"/>
    <n v="4"/>
    <x v="0"/>
    <n v="62"/>
    <n v="3"/>
    <n v="2"/>
    <x v="0"/>
    <n v="2"/>
    <x v="0"/>
    <n v="5147"/>
    <n v="10697"/>
    <n v="8"/>
    <s v="Y"/>
    <s v="No"/>
    <n v="15"/>
    <n v="3"/>
    <n v="4"/>
    <n v="80"/>
    <n v="0"/>
    <n v="13"/>
    <n v="2"/>
    <n v="2"/>
    <n v="11"/>
    <n v="7"/>
    <n v="1"/>
    <n v="7"/>
  </r>
  <r>
    <n v="49"/>
    <x v="1"/>
    <x v="1"/>
    <s v="Travel_Rarely"/>
    <n v="1313"/>
    <x v="0"/>
    <n v="11"/>
    <n v="4"/>
    <x v="3"/>
    <n v="1"/>
    <n v="1757"/>
    <n v="4"/>
    <x v="0"/>
    <n v="80"/>
    <n v="3"/>
    <n v="2"/>
    <x v="0"/>
    <n v="4"/>
    <x v="0"/>
    <n v="4507"/>
    <n v="8191"/>
    <n v="3"/>
    <s v="Y"/>
    <s v="No"/>
    <n v="12"/>
    <n v="3"/>
    <n v="3"/>
    <n v="80"/>
    <n v="0"/>
    <n v="8"/>
    <n v="1"/>
    <n v="4"/>
    <n v="5"/>
    <n v="1"/>
    <n v="0"/>
    <n v="4"/>
  </r>
  <r>
    <n v="33"/>
    <x v="2"/>
    <x v="0"/>
    <s v="Travel_Rarely"/>
    <n v="211"/>
    <x v="0"/>
    <n v="16"/>
    <n v="3"/>
    <x v="0"/>
    <n v="1"/>
    <n v="1758"/>
    <n v="1"/>
    <x v="0"/>
    <n v="74"/>
    <n v="3"/>
    <n v="3"/>
    <x v="0"/>
    <n v="1"/>
    <x v="0"/>
    <n v="8564"/>
    <n v="10092"/>
    <n v="2"/>
    <s v="Y"/>
    <s v="Yes"/>
    <n v="20"/>
    <n v="4"/>
    <n v="3"/>
    <n v="80"/>
    <n v="0"/>
    <n v="11"/>
    <n v="2"/>
    <n v="2"/>
    <n v="0"/>
    <n v="0"/>
    <n v="0"/>
    <n v="0"/>
  </r>
  <r>
    <n v="38"/>
    <x v="0"/>
    <x v="1"/>
    <s v="Travel_Frequently"/>
    <n v="594"/>
    <x v="1"/>
    <n v="2"/>
    <n v="2"/>
    <x v="2"/>
    <n v="1"/>
    <n v="1760"/>
    <n v="3"/>
    <x v="0"/>
    <n v="75"/>
    <n v="2"/>
    <n v="1"/>
    <x v="2"/>
    <n v="2"/>
    <x v="1"/>
    <n v="2468"/>
    <n v="15963"/>
    <n v="4"/>
    <s v="Y"/>
    <s v="No"/>
    <n v="14"/>
    <n v="3"/>
    <n v="2"/>
    <n v="80"/>
    <n v="1"/>
    <n v="9"/>
    <n v="4"/>
    <n v="2"/>
    <n v="6"/>
    <n v="1"/>
    <n v="0"/>
    <n v="5"/>
  </r>
  <r>
    <n v="31"/>
    <x v="2"/>
    <x v="0"/>
    <s v="Travel_Rarely"/>
    <n v="1079"/>
    <x v="0"/>
    <n v="16"/>
    <n v="4"/>
    <x v="3"/>
    <n v="1"/>
    <n v="1761"/>
    <n v="1"/>
    <x v="1"/>
    <n v="70"/>
    <n v="3"/>
    <n v="3"/>
    <x v="0"/>
    <n v="3"/>
    <x v="1"/>
    <n v="8161"/>
    <n v="19002"/>
    <n v="2"/>
    <s v="Y"/>
    <s v="No"/>
    <n v="13"/>
    <n v="3"/>
    <n v="1"/>
    <n v="80"/>
    <n v="3"/>
    <n v="10"/>
    <n v="2"/>
    <n v="3"/>
    <n v="1"/>
    <n v="0"/>
    <n v="0"/>
    <n v="0"/>
  </r>
  <r>
    <n v="29"/>
    <x v="2"/>
    <x v="1"/>
    <s v="Travel_Rarely"/>
    <n v="590"/>
    <x v="1"/>
    <n v="4"/>
    <n v="3"/>
    <x v="4"/>
    <n v="1"/>
    <n v="1762"/>
    <n v="4"/>
    <x v="0"/>
    <n v="91"/>
    <n v="2"/>
    <n v="1"/>
    <x v="1"/>
    <n v="1"/>
    <x v="2"/>
    <n v="2109"/>
    <n v="10007"/>
    <n v="1"/>
    <s v="Y"/>
    <s v="No"/>
    <n v="13"/>
    <n v="3"/>
    <n v="3"/>
    <n v="80"/>
    <n v="1"/>
    <n v="1"/>
    <n v="2"/>
    <n v="3"/>
    <n v="1"/>
    <n v="0"/>
    <n v="0"/>
    <n v="0"/>
  </r>
  <r>
    <n v="30"/>
    <x v="2"/>
    <x v="1"/>
    <s v="Travel_Rarely"/>
    <n v="305"/>
    <x v="1"/>
    <n v="16"/>
    <n v="3"/>
    <x v="0"/>
    <n v="1"/>
    <n v="1763"/>
    <n v="3"/>
    <x v="1"/>
    <n v="58"/>
    <n v="4"/>
    <n v="2"/>
    <x v="4"/>
    <n v="3"/>
    <x v="1"/>
    <n v="5294"/>
    <n v="9128"/>
    <n v="3"/>
    <s v="Y"/>
    <s v="No"/>
    <n v="16"/>
    <n v="3"/>
    <n v="3"/>
    <n v="80"/>
    <n v="1"/>
    <n v="10"/>
    <n v="3"/>
    <n v="3"/>
    <n v="7"/>
    <n v="0"/>
    <n v="1"/>
    <n v="7"/>
  </r>
  <r>
    <n v="32"/>
    <x v="2"/>
    <x v="1"/>
    <s v="Non-Travel"/>
    <n v="953"/>
    <x v="1"/>
    <n v="5"/>
    <n v="4"/>
    <x v="4"/>
    <n v="1"/>
    <n v="1764"/>
    <n v="2"/>
    <x v="1"/>
    <n v="65"/>
    <n v="3"/>
    <n v="1"/>
    <x v="1"/>
    <n v="2"/>
    <x v="0"/>
    <n v="2718"/>
    <n v="17674"/>
    <n v="2"/>
    <s v="Y"/>
    <s v="No"/>
    <n v="14"/>
    <n v="3"/>
    <n v="2"/>
    <n v="80"/>
    <n v="0"/>
    <n v="12"/>
    <n v="3"/>
    <n v="3"/>
    <n v="7"/>
    <n v="7"/>
    <n v="0"/>
    <n v="7"/>
  </r>
  <r>
    <n v="38"/>
    <x v="0"/>
    <x v="1"/>
    <s v="Travel_Rarely"/>
    <n v="833"/>
    <x v="1"/>
    <n v="18"/>
    <n v="3"/>
    <x v="2"/>
    <n v="1"/>
    <n v="1766"/>
    <n v="2"/>
    <x v="1"/>
    <n v="60"/>
    <n v="1"/>
    <n v="2"/>
    <x v="4"/>
    <n v="4"/>
    <x v="1"/>
    <n v="5811"/>
    <n v="24539"/>
    <n v="3"/>
    <s v="Y"/>
    <s v="Yes"/>
    <n v="16"/>
    <n v="3"/>
    <n v="3"/>
    <n v="80"/>
    <n v="1"/>
    <n v="15"/>
    <n v="2"/>
    <n v="3"/>
    <n v="1"/>
    <n v="0"/>
    <n v="1"/>
    <n v="0"/>
  </r>
  <r>
    <n v="43"/>
    <x v="0"/>
    <x v="0"/>
    <s v="Travel_Frequently"/>
    <n v="807"/>
    <x v="1"/>
    <n v="17"/>
    <n v="3"/>
    <x v="4"/>
    <n v="1"/>
    <n v="1767"/>
    <n v="3"/>
    <x v="1"/>
    <n v="38"/>
    <n v="2"/>
    <n v="1"/>
    <x v="1"/>
    <n v="3"/>
    <x v="1"/>
    <n v="2437"/>
    <n v="15587"/>
    <n v="9"/>
    <s v="Y"/>
    <s v="Yes"/>
    <n v="16"/>
    <n v="3"/>
    <n v="4"/>
    <n v="80"/>
    <n v="1"/>
    <n v="6"/>
    <n v="4"/>
    <n v="3"/>
    <n v="1"/>
    <n v="0"/>
    <n v="0"/>
    <n v="0"/>
  </r>
  <r>
    <n v="42"/>
    <x v="0"/>
    <x v="1"/>
    <s v="Travel_Rarely"/>
    <n v="855"/>
    <x v="1"/>
    <n v="12"/>
    <n v="3"/>
    <x v="2"/>
    <n v="1"/>
    <n v="1768"/>
    <n v="2"/>
    <x v="1"/>
    <n v="57"/>
    <n v="3"/>
    <n v="1"/>
    <x v="2"/>
    <n v="2"/>
    <x v="2"/>
    <n v="2766"/>
    <n v="8952"/>
    <n v="8"/>
    <s v="Y"/>
    <s v="No"/>
    <n v="22"/>
    <n v="4"/>
    <n v="2"/>
    <n v="80"/>
    <n v="3"/>
    <n v="7"/>
    <n v="6"/>
    <n v="2"/>
    <n v="5"/>
    <n v="3"/>
    <n v="0"/>
    <n v="4"/>
  </r>
  <r>
    <n v="55"/>
    <x v="1"/>
    <x v="1"/>
    <s v="Travel_Rarely"/>
    <n v="478"/>
    <x v="1"/>
    <n v="2"/>
    <n v="3"/>
    <x v="2"/>
    <n v="1"/>
    <n v="1770"/>
    <n v="3"/>
    <x v="1"/>
    <n v="60"/>
    <n v="2"/>
    <n v="5"/>
    <x v="7"/>
    <n v="1"/>
    <x v="1"/>
    <n v="19038"/>
    <n v="19805"/>
    <n v="8"/>
    <s v="Y"/>
    <s v="No"/>
    <n v="12"/>
    <n v="3"/>
    <n v="2"/>
    <n v="80"/>
    <n v="3"/>
    <n v="34"/>
    <n v="2"/>
    <n v="3"/>
    <n v="1"/>
    <n v="0"/>
    <n v="0"/>
    <n v="0"/>
  </r>
  <r>
    <n v="33"/>
    <x v="2"/>
    <x v="1"/>
    <s v="Non-Travel"/>
    <n v="775"/>
    <x v="1"/>
    <n v="4"/>
    <n v="3"/>
    <x v="4"/>
    <n v="1"/>
    <n v="1771"/>
    <n v="4"/>
    <x v="1"/>
    <n v="90"/>
    <n v="3"/>
    <n v="2"/>
    <x v="1"/>
    <n v="2"/>
    <x v="2"/>
    <n v="3055"/>
    <n v="6194"/>
    <n v="5"/>
    <s v="Y"/>
    <s v="No"/>
    <n v="15"/>
    <n v="3"/>
    <n v="4"/>
    <n v="80"/>
    <n v="2"/>
    <n v="11"/>
    <n v="2"/>
    <n v="2"/>
    <n v="9"/>
    <n v="8"/>
    <n v="1"/>
    <n v="7"/>
  </r>
  <r>
    <n v="41"/>
    <x v="0"/>
    <x v="1"/>
    <s v="Travel_Rarely"/>
    <n v="548"/>
    <x v="1"/>
    <n v="9"/>
    <n v="4"/>
    <x v="0"/>
    <n v="1"/>
    <n v="1772"/>
    <n v="3"/>
    <x v="1"/>
    <n v="94"/>
    <n v="3"/>
    <n v="1"/>
    <x v="2"/>
    <n v="1"/>
    <x v="2"/>
    <n v="2289"/>
    <n v="20520"/>
    <n v="1"/>
    <s v="Y"/>
    <s v="No"/>
    <n v="20"/>
    <n v="4"/>
    <n v="2"/>
    <n v="80"/>
    <n v="2"/>
    <n v="5"/>
    <n v="2"/>
    <n v="3"/>
    <n v="5"/>
    <n v="3"/>
    <n v="0"/>
    <n v="4"/>
  </r>
  <r>
    <n v="34"/>
    <x v="2"/>
    <x v="1"/>
    <s v="Non-Travel"/>
    <n v="1375"/>
    <x v="0"/>
    <n v="10"/>
    <n v="3"/>
    <x v="0"/>
    <n v="1"/>
    <n v="1774"/>
    <n v="4"/>
    <x v="1"/>
    <n v="87"/>
    <n v="3"/>
    <n v="2"/>
    <x v="0"/>
    <n v="3"/>
    <x v="2"/>
    <n v="4001"/>
    <n v="12313"/>
    <n v="1"/>
    <s v="Y"/>
    <s v="Yes"/>
    <n v="14"/>
    <n v="3"/>
    <n v="3"/>
    <n v="80"/>
    <n v="1"/>
    <n v="15"/>
    <n v="3"/>
    <n v="3"/>
    <n v="15"/>
    <n v="14"/>
    <n v="0"/>
    <n v="7"/>
  </r>
  <r>
    <n v="53"/>
    <x v="1"/>
    <x v="1"/>
    <s v="Non-Travel"/>
    <n v="661"/>
    <x v="1"/>
    <n v="1"/>
    <n v="4"/>
    <x v="2"/>
    <n v="1"/>
    <n v="1775"/>
    <n v="1"/>
    <x v="0"/>
    <n v="60"/>
    <n v="2"/>
    <n v="4"/>
    <x v="3"/>
    <n v="3"/>
    <x v="1"/>
    <n v="12965"/>
    <n v="22308"/>
    <n v="4"/>
    <s v="Y"/>
    <s v="Yes"/>
    <n v="20"/>
    <n v="4"/>
    <n v="4"/>
    <n v="80"/>
    <n v="3"/>
    <n v="27"/>
    <n v="2"/>
    <n v="2"/>
    <n v="3"/>
    <n v="2"/>
    <n v="0"/>
    <n v="2"/>
  </r>
  <r>
    <n v="43"/>
    <x v="0"/>
    <x v="1"/>
    <s v="Travel_Rarely"/>
    <n v="244"/>
    <x v="2"/>
    <n v="2"/>
    <n v="3"/>
    <x v="0"/>
    <n v="1"/>
    <n v="1778"/>
    <n v="2"/>
    <x v="1"/>
    <n v="97"/>
    <n v="3"/>
    <n v="1"/>
    <x v="8"/>
    <n v="4"/>
    <x v="0"/>
    <n v="3539"/>
    <n v="5033"/>
    <n v="0"/>
    <s v="Y"/>
    <s v="No"/>
    <n v="13"/>
    <n v="3"/>
    <n v="2"/>
    <n v="80"/>
    <n v="0"/>
    <n v="10"/>
    <n v="5"/>
    <n v="3"/>
    <n v="9"/>
    <n v="7"/>
    <n v="1"/>
    <n v="8"/>
  </r>
  <r>
    <n v="34"/>
    <x v="2"/>
    <x v="1"/>
    <s v="Travel_Rarely"/>
    <n v="511"/>
    <x v="0"/>
    <n v="3"/>
    <n v="2"/>
    <x v="0"/>
    <n v="1"/>
    <n v="1779"/>
    <n v="4"/>
    <x v="0"/>
    <n v="32"/>
    <n v="1"/>
    <n v="2"/>
    <x v="0"/>
    <n v="4"/>
    <x v="0"/>
    <n v="6029"/>
    <n v="25353"/>
    <n v="5"/>
    <s v="Y"/>
    <s v="No"/>
    <n v="12"/>
    <n v="3"/>
    <n v="1"/>
    <n v="80"/>
    <n v="0"/>
    <n v="6"/>
    <n v="3"/>
    <n v="3"/>
    <n v="2"/>
    <n v="2"/>
    <n v="2"/>
    <n v="2"/>
  </r>
  <r>
    <n v="21"/>
    <x v="3"/>
    <x v="0"/>
    <s v="Travel_Rarely"/>
    <n v="337"/>
    <x v="0"/>
    <n v="7"/>
    <n v="1"/>
    <x v="3"/>
    <n v="1"/>
    <n v="1780"/>
    <n v="2"/>
    <x v="1"/>
    <n v="31"/>
    <n v="3"/>
    <n v="1"/>
    <x v="6"/>
    <n v="2"/>
    <x v="0"/>
    <n v="2679"/>
    <n v="4567"/>
    <n v="1"/>
    <s v="Y"/>
    <s v="No"/>
    <n v="13"/>
    <n v="3"/>
    <n v="2"/>
    <n v="80"/>
    <n v="0"/>
    <n v="1"/>
    <n v="3"/>
    <n v="3"/>
    <n v="1"/>
    <n v="0"/>
    <n v="1"/>
    <n v="0"/>
  </r>
  <r>
    <n v="38"/>
    <x v="0"/>
    <x v="1"/>
    <s v="Travel_Rarely"/>
    <n v="1153"/>
    <x v="1"/>
    <n v="6"/>
    <n v="2"/>
    <x v="1"/>
    <n v="1"/>
    <n v="1782"/>
    <n v="4"/>
    <x v="0"/>
    <n v="40"/>
    <n v="2"/>
    <n v="1"/>
    <x v="2"/>
    <n v="3"/>
    <x v="1"/>
    <n v="3702"/>
    <n v="16376"/>
    <n v="1"/>
    <s v="Y"/>
    <s v="No"/>
    <n v="11"/>
    <n v="3"/>
    <n v="2"/>
    <n v="80"/>
    <n v="1"/>
    <n v="5"/>
    <n v="3"/>
    <n v="3"/>
    <n v="5"/>
    <n v="4"/>
    <n v="0"/>
    <n v="4"/>
  </r>
  <r>
    <n v="22"/>
    <x v="3"/>
    <x v="0"/>
    <s v="Travel_Rarely"/>
    <n v="1294"/>
    <x v="1"/>
    <n v="8"/>
    <n v="1"/>
    <x v="2"/>
    <n v="1"/>
    <n v="1783"/>
    <n v="3"/>
    <x v="0"/>
    <n v="79"/>
    <n v="3"/>
    <n v="1"/>
    <x v="2"/>
    <n v="1"/>
    <x v="1"/>
    <n v="2398"/>
    <n v="15999"/>
    <n v="1"/>
    <s v="Y"/>
    <s v="Yes"/>
    <n v="17"/>
    <n v="3"/>
    <n v="3"/>
    <n v="80"/>
    <n v="0"/>
    <n v="1"/>
    <n v="6"/>
    <n v="3"/>
    <n v="1"/>
    <n v="0"/>
    <n v="0"/>
    <n v="0"/>
  </r>
  <r>
    <n v="31"/>
    <x v="2"/>
    <x v="1"/>
    <s v="Travel_Rarely"/>
    <n v="196"/>
    <x v="0"/>
    <n v="29"/>
    <n v="4"/>
    <x v="3"/>
    <n v="1"/>
    <n v="1784"/>
    <n v="1"/>
    <x v="0"/>
    <n v="91"/>
    <n v="2"/>
    <n v="2"/>
    <x v="0"/>
    <n v="4"/>
    <x v="1"/>
    <n v="5468"/>
    <n v="13402"/>
    <n v="1"/>
    <s v="Y"/>
    <s v="No"/>
    <n v="14"/>
    <n v="3"/>
    <n v="1"/>
    <n v="80"/>
    <n v="2"/>
    <n v="13"/>
    <n v="3"/>
    <n v="3"/>
    <n v="12"/>
    <n v="7"/>
    <n v="5"/>
    <n v="7"/>
  </r>
  <r>
    <n v="51"/>
    <x v="1"/>
    <x v="1"/>
    <s v="Travel_Rarely"/>
    <n v="942"/>
    <x v="1"/>
    <n v="3"/>
    <n v="3"/>
    <x v="4"/>
    <n v="1"/>
    <n v="1786"/>
    <n v="1"/>
    <x v="0"/>
    <n v="53"/>
    <n v="3"/>
    <n v="3"/>
    <x v="5"/>
    <n v="3"/>
    <x v="1"/>
    <n v="13116"/>
    <n v="22984"/>
    <n v="2"/>
    <s v="Y"/>
    <s v="No"/>
    <n v="11"/>
    <n v="3"/>
    <n v="4"/>
    <n v="80"/>
    <n v="0"/>
    <n v="15"/>
    <n v="2"/>
    <n v="3"/>
    <n v="2"/>
    <n v="2"/>
    <n v="2"/>
    <n v="2"/>
  </r>
  <r>
    <n v="37"/>
    <x v="0"/>
    <x v="1"/>
    <s v="Travel_Rarely"/>
    <n v="589"/>
    <x v="0"/>
    <n v="9"/>
    <n v="2"/>
    <x v="3"/>
    <n v="1"/>
    <n v="1787"/>
    <n v="2"/>
    <x v="1"/>
    <n v="46"/>
    <n v="2"/>
    <n v="2"/>
    <x v="0"/>
    <n v="2"/>
    <x v="1"/>
    <n v="4189"/>
    <n v="8800"/>
    <n v="1"/>
    <s v="Y"/>
    <s v="No"/>
    <n v="14"/>
    <n v="3"/>
    <n v="1"/>
    <n v="80"/>
    <n v="2"/>
    <n v="5"/>
    <n v="2"/>
    <n v="3"/>
    <n v="5"/>
    <n v="2"/>
    <n v="0"/>
    <n v="3"/>
  </r>
  <r>
    <n v="46"/>
    <x v="1"/>
    <x v="1"/>
    <s v="Travel_Rarely"/>
    <n v="734"/>
    <x v="1"/>
    <n v="2"/>
    <n v="4"/>
    <x v="2"/>
    <n v="1"/>
    <n v="1789"/>
    <n v="3"/>
    <x v="1"/>
    <n v="46"/>
    <n v="3"/>
    <n v="5"/>
    <x v="7"/>
    <n v="4"/>
    <x v="2"/>
    <n v="19328"/>
    <n v="14218"/>
    <n v="7"/>
    <s v="Y"/>
    <s v="Yes"/>
    <n v="17"/>
    <n v="3"/>
    <n v="3"/>
    <n v="80"/>
    <n v="1"/>
    <n v="24"/>
    <n v="3"/>
    <n v="3"/>
    <n v="2"/>
    <n v="1"/>
    <n v="2"/>
    <n v="2"/>
  </r>
  <r>
    <n v="36"/>
    <x v="0"/>
    <x v="1"/>
    <s v="Travel_Rarely"/>
    <n v="1383"/>
    <x v="1"/>
    <n v="10"/>
    <n v="3"/>
    <x v="0"/>
    <n v="1"/>
    <n v="1790"/>
    <n v="4"/>
    <x v="1"/>
    <n v="90"/>
    <n v="3"/>
    <n v="3"/>
    <x v="4"/>
    <n v="1"/>
    <x v="1"/>
    <n v="8321"/>
    <n v="25949"/>
    <n v="7"/>
    <s v="Y"/>
    <s v="Yes"/>
    <n v="13"/>
    <n v="3"/>
    <n v="4"/>
    <n v="80"/>
    <n v="1"/>
    <n v="15"/>
    <n v="1"/>
    <n v="3"/>
    <n v="12"/>
    <n v="8"/>
    <n v="5"/>
    <n v="7"/>
  </r>
  <r>
    <n v="44"/>
    <x v="0"/>
    <x v="0"/>
    <s v="Travel_Frequently"/>
    <n v="429"/>
    <x v="1"/>
    <n v="1"/>
    <n v="2"/>
    <x v="2"/>
    <n v="1"/>
    <n v="1792"/>
    <n v="3"/>
    <x v="1"/>
    <n v="99"/>
    <n v="3"/>
    <n v="1"/>
    <x v="1"/>
    <n v="2"/>
    <x v="2"/>
    <n v="2342"/>
    <n v="11092"/>
    <n v="1"/>
    <s v="Y"/>
    <s v="Yes"/>
    <n v="12"/>
    <n v="3"/>
    <n v="3"/>
    <n v="80"/>
    <n v="3"/>
    <n v="6"/>
    <n v="2"/>
    <n v="2"/>
    <n v="5"/>
    <n v="3"/>
    <n v="2"/>
    <n v="3"/>
  </r>
  <r>
    <n v="37"/>
    <x v="0"/>
    <x v="1"/>
    <s v="Travel_Rarely"/>
    <n v="1239"/>
    <x v="2"/>
    <n v="8"/>
    <n v="2"/>
    <x v="1"/>
    <n v="1"/>
    <n v="1794"/>
    <n v="3"/>
    <x v="1"/>
    <n v="89"/>
    <n v="3"/>
    <n v="2"/>
    <x v="8"/>
    <n v="2"/>
    <x v="2"/>
    <n v="4071"/>
    <n v="12832"/>
    <n v="2"/>
    <s v="Y"/>
    <s v="No"/>
    <n v="13"/>
    <n v="3"/>
    <n v="3"/>
    <n v="80"/>
    <n v="0"/>
    <n v="19"/>
    <n v="4"/>
    <n v="2"/>
    <n v="10"/>
    <n v="0"/>
    <n v="4"/>
    <n v="7"/>
  </r>
  <r>
    <n v="35"/>
    <x v="2"/>
    <x v="0"/>
    <s v="Travel_Rarely"/>
    <n v="303"/>
    <x v="0"/>
    <n v="27"/>
    <n v="3"/>
    <x v="0"/>
    <n v="1"/>
    <n v="1797"/>
    <n v="3"/>
    <x v="1"/>
    <n v="84"/>
    <n v="3"/>
    <n v="2"/>
    <x v="0"/>
    <n v="4"/>
    <x v="0"/>
    <n v="5813"/>
    <n v="13492"/>
    <n v="1"/>
    <s v="Y"/>
    <s v="Yes"/>
    <n v="18"/>
    <n v="3"/>
    <n v="4"/>
    <n v="80"/>
    <n v="0"/>
    <n v="10"/>
    <n v="2"/>
    <n v="3"/>
    <n v="10"/>
    <n v="7"/>
    <n v="7"/>
    <n v="7"/>
  </r>
  <r>
    <n v="33"/>
    <x v="2"/>
    <x v="1"/>
    <s v="Travel_Rarely"/>
    <n v="867"/>
    <x v="1"/>
    <n v="8"/>
    <n v="4"/>
    <x v="0"/>
    <n v="1"/>
    <n v="1798"/>
    <n v="4"/>
    <x v="1"/>
    <n v="90"/>
    <n v="4"/>
    <n v="1"/>
    <x v="1"/>
    <n v="1"/>
    <x v="1"/>
    <n v="3143"/>
    <n v="6076"/>
    <n v="6"/>
    <s v="Y"/>
    <s v="No"/>
    <n v="19"/>
    <n v="3"/>
    <n v="2"/>
    <n v="80"/>
    <n v="1"/>
    <n v="14"/>
    <n v="1"/>
    <n v="3"/>
    <n v="10"/>
    <n v="8"/>
    <n v="7"/>
    <n v="6"/>
  </r>
  <r>
    <n v="28"/>
    <x v="2"/>
    <x v="1"/>
    <s v="Travel_Rarely"/>
    <n v="1181"/>
    <x v="1"/>
    <n v="1"/>
    <n v="3"/>
    <x v="0"/>
    <n v="1"/>
    <n v="1799"/>
    <n v="3"/>
    <x v="1"/>
    <n v="82"/>
    <n v="3"/>
    <n v="1"/>
    <x v="1"/>
    <n v="4"/>
    <x v="1"/>
    <n v="2044"/>
    <n v="5531"/>
    <n v="1"/>
    <s v="Y"/>
    <s v="No"/>
    <n v="11"/>
    <n v="3"/>
    <n v="3"/>
    <n v="80"/>
    <n v="1"/>
    <n v="5"/>
    <n v="6"/>
    <n v="4"/>
    <n v="5"/>
    <n v="3"/>
    <n v="0"/>
    <n v="3"/>
  </r>
  <r>
    <n v="39"/>
    <x v="0"/>
    <x v="1"/>
    <s v="Travel_Rarely"/>
    <n v="1253"/>
    <x v="1"/>
    <n v="10"/>
    <n v="1"/>
    <x v="2"/>
    <n v="1"/>
    <n v="1800"/>
    <n v="3"/>
    <x v="1"/>
    <n v="65"/>
    <n v="3"/>
    <n v="3"/>
    <x v="7"/>
    <n v="3"/>
    <x v="0"/>
    <n v="13464"/>
    <n v="7914"/>
    <n v="7"/>
    <s v="Y"/>
    <s v="No"/>
    <n v="21"/>
    <n v="4"/>
    <n v="3"/>
    <n v="80"/>
    <n v="0"/>
    <n v="9"/>
    <n v="3"/>
    <n v="3"/>
    <n v="4"/>
    <n v="3"/>
    <n v="2"/>
    <n v="2"/>
  </r>
  <r>
    <n v="46"/>
    <x v="1"/>
    <x v="1"/>
    <s v="Non-Travel"/>
    <n v="849"/>
    <x v="0"/>
    <n v="26"/>
    <n v="2"/>
    <x v="0"/>
    <n v="1"/>
    <n v="1801"/>
    <n v="2"/>
    <x v="1"/>
    <n v="98"/>
    <n v="2"/>
    <n v="2"/>
    <x v="0"/>
    <n v="2"/>
    <x v="0"/>
    <n v="7991"/>
    <n v="25166"/>
    <n v="8"/>
    <s v="Y"/>
    <s v="No"/>
    <n v="15"/>
    <n v="3"/>
    <n v="3"/>
    <n v="80"/>
    <n v="0"/>
    <n v="6"/>
    <n v="3"/>
    <n v="3"/>
    <n v="2"/>
    <n v="2"/>
    <n v="2"/>
    <n v="2"/>
  </r>
  <r>
    <n v="40"/>
    <x v="0"/>
    <x v="1"/>
    <s v="Travel_Rarely"/>
    <n v="616"/>
    <x v="1"/>
    <n v="2"/>
    <n v="2"/>
    <x v="0"/>
    <n v="1"/>
    <n v="1802"/>
    <n v="3"/>
    <x v="0"/>
    <n v="99"/>
    <n v="3"/>
    <n v="1"/>
    <x v="2"/>
    <n v="1"/>
    <x v="1"/>
    <n v="3377"/>
    <n v="25605"/>
    <n v="4"/>
    <s v="Y"/>
    <s v="No"/>
    <n v="17"/>
    <n v="3"/>
    <n v="4"/>
    <n v="80"/>
    <n v="1"/>
    <n v="7"/>
    <n v="5"/>
    <n v="2"/>
    <n v="4"/>
    <n v="3"/>
    <n v="0"/>
    <n v="2"/>
  </r>
  <r>
    <n v="42"/>
    <x v="0"/>
    <x v="1"/>
    <s v="Travel_Rarely"/>
    <n v="1128"/>
    <x v="1"/>
    <n v="13"/>
    <n v="3"/>
    <x v="2"/>
    <n v="1"/>
    <n v="1803"/>
    <n v="2"/>
    <x v="1"/>
    <n v="95"/>
    <n v="4"/>
    <n v="2"/>
    <x v="4"/>
    <n v="1"/>
    <x v="1"/>
    <n v="5538"/>
    <n v="5696"/>
    <n v="5"/>
    <s v="Y"/>
    <s v="No"/>
    <n v="18"/>
    <n v="3"/>
    <n v="3"/>
    <n v="80"/>
    <n v="2"/>
    <n v="10"/>
    <n v="2"/>
    <n v="2"/>
    <n v="0"/>
    <n v="0"/>
    <n v="0"/>
    <n v="0"/>
  </r>
  <r>
    <n v="35"/>
    <x v="2"/>
    <x v="1"/>
    <s v="Non-Travel"/>
    <n v="1180"/>
    <x v="1"/>
    <n v="2"/>
    <n v="2"/>
    <x v="2"/>
    <n v="1"/>
    <n v="1804"/>
    <n v="2"/>
    <x v="1"/>
    <n v="90"/>
    <n v="3"/>
    <n v="2"/>
    <x v="3"/>
    <n v="4"/>
    <x v="2"/>
    <n v="5762"/>
    <n v="24442"/>
    <n v="2"/>
    <s v="Y"/>
    <s v="No"/>
    <n v="14"/>
    <n v="3"/>
    <n v="3"/>
    <n v="80"/>
    <n v="1"/>
    <n v="15"/>
    <n v="6"/>
    <n v="3"/>
    <n v="7"/>
    <n v="7"/>
    <n v="1"/>
    <n v="7"/>
  </r>
  <r>
    <n v="38"/>
    <x v="0"/>
    <x v="1"/>
    <s v="Non-Travel"/>
    <n v="1336"/>
    <x v="2"/>
    <n v="2"/>
    <n v="3"/>
    <x v="5"/>
    <n v="1"/>
    <n v="1805"/>
    <n v="1"/>
    <x v="1"/>
    <n v="100"/>
    <n v="3"/>
    <n v="1"/>
    <x v="8"/>
    <n v="2"/>
    <x v="2"/>
    <n v="2592"/>
    <n v="7129"/>
    <n v="5"/>
    <s v="Y"/>
    <s v="No"/>
    <n v="13"/>
    <n v="3"/>
    <n v="4"/>
    <n v="80"/>
    <n v="3"/>
    <n v="13"/>
    <n v="3"/>
    <n v="3"/>
    <n v="11"/>
    <n v="10"/>
    <n v="3"/>
    <n v="8"/>
  </r>
  <r>
    <n v="34"/>
    <x v="2"/>
    <x v="0"/>
    <s v="Travel_Frequently"/>
    <n v="234"/>
    <x v="1"/>
    <n v="9"/>
    <n v="4"/>
    <x v="0"/>
    <n v="1"/>
    <n v="1807"/>
    <n v="4"/>
    <x v="1"/>
    <n v="93"/>
    <n v="3"/>
    <n v="2"/>
    <x v="2"/>
    <n v="1"/>
    <x v="1"/>
    <n v="5346"/>
    <n v="6208"/>
    <n v="4"/>
    <s v="Y"/>
    <s v="No"/>
    <n v="17"/>
    <n v="3"/>
    <n v="3"/>
    <n v="80"/>
    <n v="1"/>
    <n v="11"/>
    <n v="3"/>
    <n v="2"/>
    <n v="7"/>
    <n v="1"/>
    <n v="0"/>
    <n v="7"/>
  </r>
  <r>
    <n v="37"/>
    <x v="0"/>
    <x v="0"/>
    <s v="Travel_Rarely"/>
    <n v="370"/>
    <x v="1"/>
    <n v="10"/>
    <n v="4"/>
    <x v="2"/>
    <n v="1"/>
    <n v="1809"/>
    <n v="4"/>
    <x v="1"/>
    <n v="58"/>
    <n v="3"/>
    <n v="2"/>
    <x v="3"/>
    <n v="1"/>
    <x v="0"/>
    <n v="4213"/>
    <n v="4992"/>
    <n v="1"/>
    <s v="Y"/>
    <s v="No"/>
    <n v="15"/>
    <n v="3"/>
    <n v="2"/>
    <n v="80"/>
    <n v="0"/>
    <n v="10"/>
    <n v="4"/>
    <n v="1"/>
    <n v="10"/>
    <n v="3"/>
    <n v="0"/>
    <n v="8"/>
  </r>
  <r>
    <n v="39"/>
    <x v="0"/>
    <x v="1"/>
    <s v="Travel_Frequently"/>
    <n v="766"/>
    <x v="0"/>
    <n v="20"/>
    <n v="3"/>
    <x v="0"/>
    <n v="1"/>
    <n v="1812"/>
    <n v="3"/>
    <x v="1"/>
    <n v="83"/>
    <n v="3"/>
    <n v="2"/>
    <x v="0"/>
    <n v="4"/>
    <x v="2"/>
    <n v="4127"/>
    <n v="19188"/>
    <n v="2"/>
    <s v="Y"/>
    <s v="No"/>
    <n v="18"/>
    <n v="3"/>
    <n v="4"/>
    <n v="80"/>
    <n v="1"/>
    <n v="7"/>
    <n v="6"/>
    <n v="3"/>
    <n v="2"/>
    <n v="1"/>
    <n v="2"/>
    <n v="2"/>
  </r>
  <r>
    <n v="43"/>
    <x v="0"/>
    <x v="1"/>
    <s v="Non-Travel"/>
    <n v="343"/>
    <x v="1"/>
    <n v="9"/>
    <n v="3"/>
    <x v="0"/>
    <n v="1"/>
    <n v="1813"/>
    <n v="1"/>
    <x v="1"/>
    <n v="52"/>
    <n v="3"/>
    <n v="1"/>
    <x v="1"/>
    <n v="3"/>
    <x v="0"/>
    <n v="2438"/>
    <n v="24978"/>
    <n v="4"/>
    <s v="Y"/>
    <s v="No"/>
    <n v="13"/>
    <n v="3"/>
    <n v="3"/>
    <n v="80"/>
    <n v="0"/>
    <n v="7"/>
    <n v="2"/>
    <n v="2"/>
    <n v="3"/>
    <n v="2"/>
    <n v="1"/>
    <n v="2"/>
  </r>
  <r>
    <n v="41"/>
    <x v="0"/>
    <x v="1"/>
    <s v="Travel_Rarely"/>
    <n v="447"/>
    <x v="1"/>
    <n v="5"/>
    <n v="3"/>
    <x v="0"/>
    <n v="1"/>
    <n v="1814"/>
    <n v="2"/>
    <x v="1"/>
    <n v="85"/>
    <n v="4"/>
    <n v="2"/>
    <x v="4"/>
    <n v="2"/>
    <x v="0"/>
    <n v="6870"/>
    <n v="15530"/>
    <n v="3"/>
    <s v="Y"/>
    <s v="No"/>
    <n v="12"/>
    <n v="3"/>
    <n v="1"/>
    <n v="80"/>
    <n v="0"/>
    <n v="11"/>
    <n v="3"/>
    <n v="1"/>
    <n v="3"/>
    <n v="2"/>
    <n v="1"/>
    <n v="2"/>
  </r>
  <r>
    <n v="41"/>
    <x v="0"/>
    <x v="1"/>
    <s v="Travel_Rarely"/>
    <n v="796"/>
    <x v="0"/>
    <n v="4"/>
    <n v="1"/>
    <x v="3"/>
    <n v="1"/>
    <n v="1815"/>
    <n v="3"/>
    <x v="0"/>
    <n v="81"/>
    <n v="3"/>
    <n v="3"/>
    <x v="0"/>
    <n v="3"/>
    <x v="2"/>
    <n v="10447"/>
    <n v="26458"/>
    <n v="0"/>
    <s v="Y"/>
    <s v="Yes"/>
    <n v="13"/>
    <n v="3"/>
    <n v="4"/>
    <n v="80"/>
    <n v="1"/>
    <n v="23"/>
    <n v="3"/>
    <n v="4"/>
    <n v="22"/>
    <n v="14"/>
    <n v="13"/>
    <n v="5"/>
  </r>
  <r>
    <n v="30"/>
    <x v="2"/>
    <x v="1"/>
    <s v="Travel_Rarely"/>
    <n v="1092"/>
    <x v="1"/>
    <n v="10"/>
    <n v="3"/>
    <x v="2"/>
    <n v="1"/>
    <n v="1816"/>
    <n v="1"/>
    <x v="0"/>
    <n v="64"/>
    <n v="3"/>
    <n v="3"/>
    <x v="3"/>
    <n v="3"/>
    <x v="0"/>
    <n v="9667"/>
    <n v="2739"/>
    <n v="9"/>
    <s v="Y"/>
    <s v="No"/>
    <n v="14"/>
    <n v="3"/>
    <n v="2"/>
    <n v="80"/>
    <n v="0"/>
    <n v="9"/>
    <n v="3"/>
    <n v="3"/>
    <n v="7"/>
    <n v="7"/>
    <n v="0"/>
    <n v="2"/>
  </r>
  <r>
    <n v="26"/>
    <x v="2"/>
    <x v="0"/>
    <s v="Travel_Rarely"/>
    <n v="920"/>
    <x v="2"/>
    <n v="20"/>
    <n v="2"/>
    <x v="2"/>
    <n v="1"/>
    <n v="1818"/>
    <n v="4"/>
    <x v="0"/>
    <n v="69"/>
    <n v="3"/>
    <n v="1"/>
    <x v="8"/>
    <n v="2"/>
    <x v="1"/>
    <n v="2148"/>
    <n v="6889"/>
    <n v="0"/>
    <s v="Y"/>
    <s v="Yes"/>
    <n v="11"/>
    <n v="3"/>
    <n v="3"/>
    <n v="80"/>
    <n v="0"/>
    <n v="6"/>
    <n v="3"/>
    <n v="3"/>
    <n v="5"/>
    <n v="1"/>
    <n v="1"/>
    <n v="4"/>
  </r>
  <r>
    <n v="46"/>
    <x v="1"/>
    <x v="0"/>
    <s v="Travel_Rarely"/>
    <n v="261"/>
    <x v="1"/>
    <n v="21"/>
    <n v="2"/>
    <x v="2"/>
    <n v="1"/>
    <n v="1821"/>
    <n v="4"/>
    <x v="0"/>
    <n v="66"/>
    <n v="3"/>
    <n v="2"/>
    <x v="4"/>
    <n v="2"/>
    <x v="1"/>
    <n v="8926"/>
    <n v="10842"/>
    <n v="4"/>
    <s v="Y"/>
    <s v="No"/>
    <n v="22"/>
    <n v="4"/>
    <n v="4"/>
    <n v="80"/>
    <n v="1"/>
    <n v="13"/>
    <n v="2"/>
    <n v="4"/>
    <n v="9"/>
    <n v="7"/>
    <n v="3"/>
    <n v="7"/>
  </r>
  <r>
    <n v="40"/>
    <x v="0"/>
    <x v="1"/>
    <s v="Travel_Rarely"/>
    <n v="1194"/>
    <x v="1"/>
    <n v="1"/>
    <n v="3"/>
    <x v="0"/>
    <n v="1"/>
    <n v="1822"/>
    <n v="3"/>
    <x v="0"/>
    <n v="52"/>
    <n v="3"/>
    <n v="2"/>
    <x v="4"/>
    <n v="4"/>
    <x v="2"/>
    <n v="6513"/>
    <n v="9060"/>
    <n v="4"/>
    <s v="Y"/>
    <s v="No"/>
    <n v="17"/>
    <n v="3"/>
    <n v="4"/>
    <n v="80"/>
    <n v="1"/>
    <n v="12"/>
    <n v="3"/>
    <n v="3"/>
    <n v="5"/>
    <n v="3"/>
    <n v="0"/>
    <n v="3"/>
  </r>
  <r>
    <n v="34"/>
    <x v="2"/>
    <x v="1"/>
    <s v="Travel_Rarely"/>
    <n v="810"/>
    <x v="0"/>
    <n v="8"/>
    <n v="2"/>
    <x v="4"/>
    <n v="1"/>
    <n v="1823"/>
    <n v="2"/>
    <x v="1"/>
    <n v="92"/>
    <n v="4"/>
    <n v="2"/>
    <x v="0"/>
    <n v="3"/>
    <x v="1"/>
    <n v="6799"/>
    <n v="22128"/>
    <n v="1"/>
    <s v="Y"/>
    <s v="No"/>
    <n v="21"/>
    <n v="4"/>
    <n v="3"/>
    <n v="80"/>
    <n v="2"/>
    <n v="10"/>
    <n v="5"/>
    <n v="3"/>
    <n v="10"/>
    <n v="8"/>
    <n v="4"/>
    <n v="8"/>
  </r>
  <r>
    <n v="58"/>
    <x v="1"/>
    <x v="1"/>
    <s v="Non-Travel"/>
    <n v="350"/>
    <x v="0"/>
    <n v="2"/>
    <n v="3"/>
    <x v="2"/>
    <n v="1"/>
    <n v="1824"/>
    <n v="2"/>
    <x v="1"/>
    <n v="52"/>
    <n v="3"/>
    <n v="4"/>
    <x v="5"/>
    <n v="2"/>
    <x v="2"/>
    <n v="16291"/>
    <n v="22577"/>
    <n v="4"/>
    <s v="Y"/>
    <s v="No"/>
    <n v="22"/>
    <n v="4"/>
    <n v="4"/>
    <n v="80"/>
    <n v="1"/>
    <n v="37"/>
    <n v="0"/>
    <n v="2"/>
    <n v="16"/>
    <n v="9"/>
    <n v="14"/>
    <n v="14"/>
  </r>
  <r>
    <n v="35"/>
    <x v="2"/>
    <x v="1"/>
    <s v="Travel_Rarely"/>
    <n v="185"/>
    <x v="1"/>
    <n v="23"/>
    <n v="4"/>
    <x v="2"/>
    <n v="1"/>
    <n v="1826"/>
    <n v="2"/>
    <x v="1"/>
    <n v="91"/>
    <n v="1"/>
    <n v="1"/>
    <x v="2"/>
    <n v="3"/>
    <x v="1"/>
    <n v="2705"/>
    <n v="9696"/>
    <n v="0"/>
    <s v="Y"/>
    <s v="No"/>
    <n v="16"/>
    <n v="3"/>
    <n v="2"/>
    <n v="80"/>
    <n v="1"/>
    <n v="6"/>
    <n v="2"/>
    <n v="4"/>
    <n v="5"/>
    <n v="4"/>
    <n v="0"/>
    <n v="3"/>
  </r>
  <r>
    <n v="47"/>
    <x v="1"/>
    <x v="1"/>
    <s v="Travel_Rarely"/>
    <n v="1001"/>
    <x v="1"/>
    <n v="4"/>
    <n v="3"/>
    <x v="0"/>
    <n v="1"/>
    <n v="1827"/>
    <n v="3"/>
    <x v="0"/>
    <n v="92"/>
    <n v="2"/>
    <n v="3"/>
    <x v="3"/>
    <n v="2"/>
    <x v="2"/>
    <n v="10333"/>
    <n v="19271"/>
    <n v="8"/>
    <s v="Y"/>
    <s v="Yes"/>
    <n v="12"/>
    <n v="3"/>
    <n v="3"/>
    <n v="80"/>
    <n v="1"/>
    <n v="28"/>
    <n v="4"/>
    <n v="3"/>
    <n v="22"/>
    <n v="11"/>
    <n v="14"/>
    <n v="10"/>
  </r>
  <r>
    <n v="40"/>
    <x v="0"/>
    <x v="1"/>
    <s v="Travel_Rarely"/>
    <n v="750"/>
    <x v="1"/>
    <n v="12"/>
    <n v="3"/>
    <x v="0"/>
    <n v="1"/>
    <n v="1829"/>
    <n v="2"/>
    <x v="0"/>
    <n v="47"/>
    <n v="3"/>
    <n v="2"/>
    <x v="4"/>
    <n v="1"/>
    <x v="2"/>
    <n v="4448"/>
    <n v="10748"/>
    <n v="2"/>
    <s v="Y"/>
    <s v="No"/>
    <n v="12"/>
    <n v="3"/>
    <n v="2"/>
    <n v="80"/>
    <n v="1"/>
    <n v="15"/>
    <n v="3"/>
    <n v="3"/>
    <n v="7"/>
    <n v="4"/>
    <n v="7"/>
    <n v="7"/>
  </r>
  <r>
    <n v="54"/>
    <x v="1"/>
    <x v="1"/>
    <s v="Travel_Rarely"/>
    <n v="431"/>
    <x v="1"/>
    <n v="7"/>
    <n v="4"/>
    <x v="2"/>
    <n v="1"/>
    <n v="1830"/>
    <n v="4"/>
    <x v="0"/>
    <n v="68"/>
    <n v="3"/>
    <n v="2"/>
    <x v="1"/>
    <n v="4"/>
    <x v="1"/>
    <n v="6854"/>
    <n v="15696"/>
    <n v="4"/>
    <s v="Y"/>
    <s v="No"/>
    <n v="15"/>
    <n v="3"/>
    <n v="2"/>
    <n v="80"/>
    <n v="1"/>
    <n v="14"/>
    <n v="2"/>
    <n v="2"/>
    <n v="7"/>
    <n v="1"/>
    <n v="1"/>
    <n v="7"/>
  </r>
  <r>
    <n v="31"/>
    <x v="2"/>
    <x v="1"/>
    <s v="Travel_Frequently"/>
    <n v="1125"/>
    <x v="0"/>
    <n v="7"/>
    <n v="4"/>
    <x v="3"/>
    <n v="1"/>
    <n v="1833"/>
    <n v="1"/>
    <x v="0"/>
    <n v="68"/>
    <n v="3"/>
    <n v="3"/>
    <x v="0"/>
    <n v="1"/>
    <x v="1"/>
    <n v="9637"/>
    <n v="8277"/>
    <n v="2"/>
    <s v="Y"/>
    <s v="No"/>
    <n v="14"/>
    <n v="3"/>
    <n v="4"/>
    <n v="80"/>
    <n v="2"/>
    <n v="9"/>
    <n v="3"/>
    <n v="3"/>
    <n v="3"/>
    <n v="2"/>
    <n v="2"/>
    <n v="2"/>
  </r>
  <r>
    <n v="28"/>
    <x v="2"/>
    <x v="1"/>
    <s v="Travel_Rarely"/>
    <n v="1217"/>
    <x v="1"/>
    <n v="1"/>
    <n v="3"/>
    <x v="2"/>
    <n v="1"/>
    <n v="1834"/>
    <n v="3"/>
    <x v="0"/>
    <n v="67"/>
    <n v="3"/>
    <n v="1"/>
    <x v="1"/>
    <n v="1"/>
    <x v="1"/>
    <n v="3591"/>
    <n v="12719"/>
    <n v="1"/>
    <s v="Y"/>
    <s v="No"/>
    <n v="25"/>
    <n v="4"/>
    <n v="3"/>
    <n v="80"/>
    <n v="1"/>
    <n v="3"/>
    <n v="3"/>
    <n v="3"/>
    <n v="3"/>
    <n v="2"/>
    <n v="1"/>
    <n v="2"/>
  </r>
  <r>
    <n v="38"/>
    <x v="0"/>
    <x v="1"/>
    <s v="Travel_Rarely"/>
    <n v="723"/>
    <x v="0"/>
    <n v="2"/>
    <n v="4"/>
    <x v="3"/>
    <n v="1"/>
    <n v="1835"/>
    <n v="2"/>
    <x v="0"/>
    <n v="77"/>
    <n v="1"/>
    <n v="2"/>
    <x v="6"/>
    <n v="4"/>
    <x v="1"/>
    <n v="5405"/>
    <n v="4244"/>
    <n v="2"/>
    <s v="Y"/>
    <s v="Yes"/>
    <n v="20"/>
    <n v="4"/>
    <n v="1"/>
    <n v="80"/>
    <n v="2"/>
    <n v="20"/>
    <n v="4"/>
    <n v="2"/>
    <n v="4"/>
    <n v="2"/>
    <n v="0"/>
    <n v="3"/>
  </r>
  <r>
    <n v="26"/>
    <x v="2"/>
    <x v="1"/>
    <s v="Travel_Rarely"/>
    <n v="572"/>
    <x v="0"/>
    <n v="10"/>
    <n v="3"/>
    <x v="2"/>
    <n v="1"/>
    <n v="1836"/>
    <n v="3"/>
    <x v="1"/>
    <n v="46"/>
    <n v="3"/>
    <n v="2"/>
    <x v="0"/>
    <n v="4"/>
    <x v="0"/>
    <n v="4684"/>
    <n v="9125"/>
    <n v="1"/>
    <s v="Y"/>
    <s v="No"/>
    <n v="13"/>
    <n v="3"/>
    <n v="1"/>
    <n v="80"/>
    <n v="0"/>
    <n v="5"/>
    <n v="4"/>
    <n v="3"/>
    <n v="5"/>
    <n v="3"/>
    <n v="1"/>
    <n v="2"/>
  </r>
  <r>
    <n v="58"/>
    <x v="1"/>
    <x v="1"/>
    <s v="Travel_Frequently"/>
    <n v="1216"/>
    <x v="1"/>
    <n v="15"/>
    <n v="4"/>
    <x v="0"/>
    <n v="1"/>
    <n v="1837"/>
    <n v="1"/>
    <x v="1"/>
    <n v="87"/>
    <n v="3"/>
    <n v="4"/>
    <x v="7"/>
    <n v="3"/>
    <x v="1"/>
    <n v="15787"/>
    <n v="21624"/>
    <n v="2"/>
    <s v="Y"/>
    <s v="Yes"/>
    <n v="14"/>
    <n v="3"/>
    <n v="2"/>
    <n v="80"/>
    <n v="0"/>
    <n v="23"/>
    <n v="3"/>
    <n v="3"/>
    <n v="2"/>
    <n v="2"/>
    <n v="2"/>
    <n v="2"/>
  </r>
  <r>
    <n v="18"/>
    <x v="3"/>
    <x v="1"/>
    <s v="Non-Travel"/>
    <n v="1431"/>
    <x v="1"/>
    <n v="14"/>
    <n v="3"/>
    <x v="2"/>
    <n v="1"/>
    <n v="1839"/>
    <n v="2"/>
    <x v="0"/>
    <n v="33"/>
    <n v="3"/>
    <n v="1"/>
    <x v="1"/>
    <n v="3"/>
    <x v="0"/>
    <n v="1514"/>
    <n v="8018"/>
    <n v="1"/>
    <s v="Y"/>
    <s v="No"/>
    <n v="16"/>
    <n v="3"/>
    <n v="3"/>
    <n v="80"/>
    <n v="0"/>
    <n v="0"/>
    <n v="4"/>
    <n v="1"/>
    <n v="0"/>
    <n v="0"/>
    <n v="0"/>
    <n v="0"/>
  </r>
  <r>
    <n v="31"/>
    <x v="2"/>
    <x v="0"/>
    <s v="Travel_Rarely"/>
    <n v="359"/>
    <x v="2"/>
    <n v="18"/>
    <n v="5"/>
    <x v="5"/>
    <n v="1"/>
    <n v="1842"/>
    <n v="4"/>
    <x v="1"/>
    <n v="89"/>
    <n v="4"/>
    <n v="1"/>
    <x v="8"/>
    <n v="1"/>
    <x v="1"/>
    <n v="2956"/>
    <n v="21495"/>
    <n v="0"/>
    <s v="Y"/>
    <s v="No"/>
    <n v="17"/>
    <n v="3"/>
    <n v="3"/>
    <n v="80"/>
    <n v="0"/>
    <n v="2"/>
    <n v="4"/>
    <n v="3"/>
    <n v="1"/>
    <n v="0"/>
    <n v="0"/>
    <n v="0"/>
  </r>
  <r>
    <n v="29"/>
    <x v="2"/>
    <x v="0"/>
    <s v="Travel_Rarely"/>
    <n v="350"/>
    <x v="2"/>
    <n v="13"/>
    <n v="3"/>
    <x v="5"/>
    <n v="1"/>
    <n v="1844"/>
    <n v="1"/>
    <x v="1"/>
    <n v="56"/>
    <n v="2"/>
    <n v="1"/>
    <x v="8"/>
    <n v="1"/>
    <x v="2"/>
    <n v="2335"/>
    <n v="3157"/>
    <n v="4"/>
    <s v="Y"/>
    <s v="Yes"/>
    <n v="15"/>
    <n v="3"/>
    <n v="4"/>
    <n v="80"/>
    <n v="3"/>
    <n v="4"/>
    <n v="3"/>
    <n v="3"/>
    <n v="2"/>
    <n v="2"/>
    <n v="2"/>
    <n v="0"/>
  </r>
  <r>
    <n v="45"/>
    <x v="0"/>
    <x v="1"/>
    <s v="Non-Travel"/>
    <n v="589"/>
    <x v="0"/>
    <n v="2"/>
    <n v="4"/>
    <x v="0"/>
    <n v="1"/>
    <n v="1845"/>
    <n v="3"/>
    <x v="0"/>
    <n v="67"/>
    <n v="3"/>
    <n v="2"/>
    <x v="0"/>
    <n v="3"/>
    <x v="1"/>
    <n v="5154"/>
    <n v="19665"/>
    <n v="4"/>
    <s v="Y"/>
    <s v="No"/>
    <n v="22"/>
    <n v="4"/>
    <n v="2"/>
    <n v="80"/>
    <n v="2"/>
    <n v="10"/>
    <n v="3"/>
    <n v="4"/>
    <n v="8"/>
    <n v="7"/>
    <n v="5"/>
    <n v="7"/>
  </r>
  <r>
    <n v="36"/>
    <x v="0"/>
    <x v="1"/>
    <s v="Travel_Rarely"/>
    <n v="430"/>
    <x v="1"/>
    <n v="2"/>
    <n v="4"/>
    <x v="1"/>
    <n v="1"/>
    <n v="1847"/>
    <n v="4"/>
    <x v="0"/>
    <n v="73"/>
    <n v="3"/>
    <n v="2"/>
    <x v="1"/>
    <n v="2"/>
    <x v="1"/>
    <n v="6962"/>
    <n v="19573"/>
    <n v="4"/>
    <s v="Y"/>
    <s v="Yes"/>
    <n v="22"/>
    <n v="4"/>
    <n v="4"/>
    <n v="80"/>
    <n v="1"/>
    <n v="15"/>
    <n v="2"/>
    <n v="3"/>
    <n v="1"/>
    <n v="0"/>
    <n v="0"/>
    <n v="0"/>
  </r>
  <r>
    <n v="43"/>
    <x v="0"/>
    <x v="1"/>
    <s v="Travel_Frequently"/>
    <n v="1422"/>
    <x v="0"/>
    <n v="2"/>
    <n v="4"/>
    <x v="0"/>
    <n v="1"/>
    <n v="1849"/>
    <n v="1"/>
    <x v="1"/>
    <n v="92"/>
    <n v="3"/>
    <n v="2"/>
    <x v="0"/>
    <n v="4"/>
    <x v="1"/>
    <n v="5675"/>
    <n v="19246"/>
    <n v="1"/>
    <s v="Y"/>
    <s v="No"/>
    <n v="20"/>
    <n v="4"/>
    <n v="3"/>
    <n v="80"/>
    <n v="1"/>
    <n v="7"/>
    <n v="5"/>
    <n v="3"/>
    <n v="7"/>
    <n v="7"/>
    <n v="7"/>
    <n v="7"/>
  </r>
  <r>
    <n v="27"/>
    <x v="2"/>
    <x v="1"/>
    <s v="Travel_Frequently"/>
    <n v="1297"/>
    <x v="1"/>
    <n v="5"/>
    <n v="2"/>
    <x v="0"/>
    <n v="1"/>
    <n v="1850"/>
    <n v="4"/>
    <x v="0"/>
    <n v="53"/>
    <n v="3"/>
    <n v="1"/>
    <x v="2"/>
    <n v="4"/>
    <x v="0"/>
    <n v="2379"/>
    <n v="19826"/>
    <n v="0"/>
    <s v="Y"/>
    <s v="Yes"/>
    <n v="14"/>
    <n v="3"/>
    <n v="3"/>
    <n v="80"/>
    <n v="0"/>
    <n v="6"/>
    <n v="3"/>
    <n v="2"/>
    <n v="5"/>
    <n v="4"/>
    <n v="0"/>
    <n v="2"/>
  </r>
  <r>
    <n v="29"/>
    <x v="2"/>
    <x v="1"/>
    <s v="Travel_Frequently"/>
    <n v="574"/>
    <x v="1"/>
    <n v="20"/>
    <n v="1"/>
    <x v="2"/>
    <n v="1"/>
    <n v="1852"/>
    <n v="4"/>
    <x v="1"/>
    <n v="40"/>
    <n v="3"/>
    <n v="1"/>
    <x v="2"/>
    <n v="4"/>
    <x v="1"/>
    <n v="3812"/>
    <n v="7003"/>
    <n v="1"/>
    <s v="Y"/>
    <s v="No"/>
    <n v="13"/>
    <n v="3"/>
    <n v="2"/>
    <n v="80"/>
    <n v="0"/>
    <n v="11"/>
    <n v="3"/>
    <n v="4"/>
    <n v="11"/>
    <n v="8"/>
    <n v="3"/>
    <n v="10"/>
  </r>
  <r>
    <n v="32"/>
    <x v="2"/>
    <x v="1"/>
    <s v="Travel_Frequently"/>
    <n v="1318"/>
    <x v="0"/>
    <n v="10"/>
    <n v="4"/>
    <x v="3"/>
    <n v="1"/>
    <n v="1853"/>
    <n v="4"/>
    <x v="1"/>
    <n v="79"/>
    <n v="3"/>
    <n v="2"/>
    <x v="0"/>
    <n v="4"/>
    <x v="0"/>
    <n v="4648"/>
    <n v="26075"/>
    <n v="8"/>
    <s v="Y"/>
    <s v="No"/>
    <n v="13"/>
    <n v="3"/>
    <n v="3"/>
    <n v="80"/>
    <n v="0"/>
    <n v="4"/>
    <n v="2"/>
    <n v="4"/>
    <n v="0"/>
    <n v="0"/>
    <n v="0"/>
    <n v="0"/>
  </r>
  <r>
    <n v="42"/>
    <x v="0"/>
    <x v="1"/>
    <s v="Non-Travel"/>
    <n v="355"/>
    <x v="1"/>
    <n v="10"/>
    <n v="4"/>
    <x v="4"/>
    <n v="1"/>
    <n v="1854"/>
    <n v="3"/>
    <x v="1"/>
    <n v="38"/>
    <n v="3"/>
    <n v="1"/>
    <x v="1"/>
    <n v="3"/>
    <x v="1"/>
    <n v="2936"/>
    <n v="6161"/>
    <n v="3"/>
    <s v="Y"/>
    <s v="No"/>
    <n v="22"/>
    <n v="4"/>
    <n v="2"/>
    <n v="80"/>
    <n v="2"/>
    <n v="10"/>
    <n v="1"/>
    <n v="2"/>
    <n v="6"/>
    <n v="3"/>
    <n v="3"/>
    <n v="3"/>
  </r>
  <r>
    <n v="47"/>
    <x v="1"/>
    <x v="1"/>
    <s v="Travel_Rarely"/>
    <n v="207"/>
    <x v="1"/>
    <n v="9"/>
    <n v="4"/>
    <x v="0"/>
    <n v="1"/>
    <n v="1856"/>
    <n v="2"/>
    <x v="0"/>
    <n v="64"/>
    <n v="3"/>
    <n v="1"/>
    <x v="2"/>
    <n v="3"/>
    <x v="0"/>
    <n v="2105"/>
    <n v="5411"/>
    <n v="4"/>
    <s v="Y"/>
    <s v="No"/>
    <n v="12"/>
    <n v="3"/>
    <n v="3"/>
    <n v="80"/>
    <n v="0"/>
    <n v="7"/>
    <n v="2"/>
    <n v="3"/>
    <n v="2"/>
    <n v="2"/>
    <n v="2"/>
    <n v="0"/>
  </r>
  <r>
    <n v="46"/>
    <x v="1"/>
    <x v="1"/>
    <s v="Travel_Rarely"/>
    <n v="706"/>
    <x v="1"/>
    <n v="2"/>
    <n v="2"/>
    <x v="0"/>
    <n v="1"/>
    <n v="1857"/>
    <n v="4"/>
    <x v="1"/>
    <n v="82"/>
    <n v="3"/>
    <n v="3"/>
    <x v="3"/>
    <n v="4"/>
    <x v="2"/>
    <n v="8578"/>
    <n v="19989"/>
    <n v="3"/>
    <s v="Y"/>
    <s v="No"/>
    <n v="14"/>
    <n v="3"/>
    <n v="3"/>
    <n v="80"/>
    <n v="1"/>
    <n v="12"/>
    <n v="4"/>
    <n v="2"/>
    <n v="9"/>
    <n v="8"/>
    <n v="4"/>
    <n v="7"/>
  </r>
  <r>
    <n v="28"/>
    <x v="2"/>
    <x v="1"/>
    <s v="Non-Travel"/>
    <n v="280"/>
    <x v="2"/>
    <n v="1"/>
    <n v="2"/>
    <x v="0"/>
    <n v="1"/>
    <n v="1858"/>
    <n v="3"/>
    <x v="1"/>
    <n v="43"/>
    <n v="3"/>
    <n v="1"/>
    <x v="8"/>
    <n v="4"/>
    <x v="2"/>
    <n v="2706"/>
    <n v="10494"/>
    <n v="1"/>
    <s v="Y"/>
    <s v="No"/>
    <n v="15"/>
    <n v="3"/>
    <n v="2"/>
    <n v="80"/>
    <n v="1"/>
    <n v="3"/>
    <n v="2"/>
    <n v="3"/>
    <n v="3"/>
    <n v="2"/>
    <n v="2"/>
    <n v="2"/>
  </r>
  <r>
    <n v="29"/>
    <x v="2"/>
    <x v="1"/>
    <s v="Travel_Rarely"/>
    <n v="726"/>
    <x v="1"/>
    <n v="29"/>
    <n v="1"/>
    <x v="0"/>
    <n v="1"/>
    <n v="1859"/>
    <n v="4"/>
    <x v="1"/>
    <n v="93"/>
    <n v="1"/>
    <n v="2"/>
    <x v="4"/>
    <n v="3"/>
    <x v="2"/>
    <n v="6384"/>
    <n v="21143"/>
    <n v="8"/>
    <s v="Y"/>
    <s v="No"/>
    <n v="17"/>
    <n v="3"/>
    <n v="4"/>
    <n v="80"/>
    <n v="2"/>
    <n v="11"/>
    <n v="3"/>
    <n v="3"/>
    <n v="7"/>
    <n v="0"/>
    <n v="1"/>
    <n v="6"/>
  </r>
  <r>
    <n v="42"/>
    <x v="0"/>
    <x v="1"/>
    <s v="Travel_Rarely"/>
    <n v="1142"/>
    <x v="1"/>
    <n v="8"/>
    <n v="3"/>
    <x v="0"/>
    <n v="1"/>
    <n v="1860"/>
    <n v="4"/>
    <x v="1"/>
    <n v="81"/>
    <n v="3"/>
    <n v="1"/>
    <x v="2"/>
    <n v="3"/>
    <x v="0"/>
    <n v="3968"/>
    <n v="13624"/>
    <n v="4"/>
    <s v="Y"/>
    <s v="No"/>
    <n v="13"/>
    <n v="3"/>
    <n v="4"/>
    <n v="80"/>
    <n v="0"/>
    <n v="8"/>
    <n v="3"/>
    <n v="3"/>
    <n v="0"/>
    <n v="0"/>
    <n v="0"/>
    <n v="0"/>
  </r>
  <r>
    <n v="32"/>
    <x v="2"/>
    <x v="0"/>
    <s v="Travel_Rarely"/>
    <n v="414"/>
    <x v="0"/>
    <n v="2"/>
    <n v="4"/>
    <x v="3"/>
    <n v="1"/>
    <n v="1862"/>
    <n v="3"/>
    <x v="1"/>
    <n v="82"/>
    <n v="2"/>
    <n v="2"/>
    <x v="0"/>
    <n v="2"/>
    <x v="0"/>
    <n v="9907"/>
    <n v="26186"/>
    <n v="7"/>
    <s v="Y"/>
    <s v="Yes"/>
    <n v="12"/>
    <n v="3"/>
    <n v="3"/>
    <n v="80"/>
    <n v="0"/>
    <n v="7"/>
    <n v="3"/>
    <n v="2"/>
    <n v="2"/>
    <n v="2"/>
    <n v="2"/>
    <n v="2"/>
  </r>
  <r>
    <n v="46"/>
    <x v="1"/>
    <x v="1"/>
    <s v="Travel_Rarely"/>
    <n v="1319"/>
    <x v="0"/>
    <n v="3"/>
    <n v="3"/>
    <x v="4"/>
    <n v="1"/>
    <n v="1863"/>
    <n v="1"/>
    <x v="0"/>
    <n v="45"/>
    <n v="4"/>
    <n v="4"/>
    <x v="0"/>
    <n v="1"/>
    <x v="2"/>
    <n v="13225"/>
    <n v="7739"/>
    <n v="2"/>
    <s v="Y"/>
    <s v="No"/>
    <n v="12"/>
    <n v="3"/>
    <n v="4"/>
    <n v="80"/>
    <n v="1"/>
    <n v="25"/>
    <n v="5"/>
    <n v="3"/>
    <n v="19"/>
    <n v="17"/>
    <n v="2"/>
    <n v="8"/>
  </r>
  <r>
    <n v="27"/>
    <x v="2"/>
    <x v="1"/>
    <s v="Travel_Rarely"/>
    <n v="728"/>
    <x v="0"/>
    <n v="23"/>
    <n v="1"/>
    <x v="2"/>
    <n v="1"/>
    <n v="1864"/>
    <n v="2"/>
    <x v="0"/>
    <n v="36"/>
    <n v="2"/>
    <n v="2"/>
    <x v="6"/>
    <n v="3"/>
    <x v="1"/>
    <n v="3540"/>
    <n v="7018"/>
    <n v="1"/>
    <s v="Y"/>
    <s v="No"/>
    <n v="21"/>
    <n v="4"/>
    <n v="4"/>
    <n v="80"/>
    <n v="1"/>
    <n v="9"/>
    <n v="5"/>
    <n v="3"/>
    <n v="9"/>
    <n v="8"/>
    <n v="5"/>
    <n v="8"/>
  </r>
  <r>
    <n v="29"/>
    <x v="2"/>
    <x v="1"/>
    <s v="Travel_Rarely"/>
    <n v="352"/>
    <x v="2"/>
    <n v="6"/>
    <n v="1"/>
    <x v="2"/>
    <n v="1"/>
    <n v="1865"/>
    <n v="4"/>
    <x v="1"/>
    <n v="87"/>
    <n v="2"/>
    <n v="1"/>
    <x v="8"/>
    <n v="2"/>
    <x v="1"/>
    <n v="2804"/>
    <n v="15434"/>
    <n v="1"/>
    <s v="Y"/>
    <s v="No"/>
    <n v="11"/>
    <n v="3"/>
    <n v="4"/>
    <n v="80"/>
    <n v="0"/>
    <n v="1"/>
    <n v="3"/>
    <n v="3"/>
    <n v="1"/>
    <n v="0"/>
    <n v="0"/>
    <n v="0"/>
  </r>
  <r>
    <n v="43"/>
    <x v="0"/>
    <x v="1"/>
    <s v="Travel_Rarely"/>
    <n v="823"/>
    <x v="1"/>
    <n v="6"/>
    <n v="3"/>
    <x v="2"/>
    <n v="1"/>
    <n v="1866"/>
    <n v="1"/>
    <x v="0"/>
    <n v="81"/>
    <n v="2"/>
    <n v="5"/>
    <x v="5"/>
    <n v="3"/>
    <x v="1"/>
    <n v="19392"/>
    <n v="22539"/>
    <n v="7"/>
    <s v="Y"/>
    <s v="No"/>
    <n v="13"/>
    <n v="3"/>
    <n v="4"/>
    <n v="80"/>
    <n v="0"/>
    <n v="21"/>
    <n v="2"/>
    <n v="3"/>
    <n v="16"/>
    <n v="12"/>
    <n v="6"/>
    <n v="14"/>
  </r>
  <r>
    <n v="48"/>
    <x v="1"/>
    <x v="1"/>
    <s v="Travel_Rarely"/>
    <n v="1224"/>
    <x v="1"/>
    <n v="10"/>
    <n v="3"/>
    <x v="0"/>
    <n v="1"/>
    <n v="1867"/>
    <n v="4"/>
    <x v="1"/>
    <n v="91"/>
    <n v="2"/>
    <n v="5"/>
    <x v="7"/>
    <n v="2"/>
    <x v="1"/>
    <n v="19665"/>
    <n v="13583"/>
    <n v="4"/>
    <s v="Y"/>
    <s v="No"/>
    <n v="12"/>
    <n v="3"/>
    <n v="4"/>
    <n v="80"/>
    <n v="0"/>
    <n v="29"/>
    <n v="3"/>
    <n v="3"/>
    <n v="22"/>
    <n v="10"/>
    <n v="12"/>
    <n v="9"/>
  </r>
  <r>
    <n v="29"/>
    <x v="2"/>
    <x v="0"/>
    <s v="Travel_Frequently"/>
    <n v="459"/>
    <x v="1"/>
    <n v="24"/>
    <n v="2"/>
    <x v="0"/>
    <n v="1"/>
    <n v="1868"/>
    <n v="4"/>
    <x v="1"/>
    <n v="73"/>
    <n v="2"/>
    <n v="1"/>
    <x v="1"/>
    <n v="4"/>
    <x v="0"/>
    <n v="2439"/>
    <n v="14753"/>
    <n v="1"/>
    <s v="Y"/>
    <s v="Yes"/>
    <n v="24"/>
    <n v="4"/>
    <n v="2"/>
    <n v="80"/>
    <n v="0"/>
    <n v="1"/>
    <n v="3"/>
    <n v="2"/>
    <n v="1"/>
    <n v="0"/>
    <n v="1"/>
    <n v="0"/>
  </r>
  <r>
    <n v="46"/>
    <x v="1"/>
    <x v="0"/>
    <s v="Travel_Rarely"/>
    <n v="1254"/>
    <x v="0"/>
    <n v="10"/>
    <n v="3"/>
    <x v="0"/>
    <n v="1"/>
    <n v="1869"/>
    <n v="3"/>
    <x v="0"/>
    <n v="64"/>
    <n v="3"/>
    <n v="3"/>
    <x v="0"/>
    <n v="2"/>
    <x v="1"/>
    <n v="7314"/>
    <n v="14011"/>
    <n v="5"/>
    <s v="Y"/>
    <s v="No"/>
    <n v="21"/>
    <n v="4"/>
    <n v="3"/>
    <n v="80"/>
    <n v="3"/>
    <n v="14"/>
    <n v="2"/>
    <n v="3"/>
    <n v="8"/>
    <n v="7"/>
    <n v="0"/>
    <n v="7"/>
  </r>
  <r>
    <n v="27"/>
    <x v="2"/>
    <x v="1"/>
    <s v="Travel_Frequently"/>
    <n v="1131"/>
    <x v="1"/>
    <n v="15"/>
    <n v="3"/>
    <x v="0"/>
    <n v="1"/>
    <n v="1870"/>
    <n v="4"/>
    <x v="0"/>
    <n v="77"/>
    <n v="2"/>
    <n v="1"/>
    <x v="1"/>
    <n v="1"/>
    <x v="1"/>
    <n v="4774"/>
    <n v="23844"/>
    <n v="0"/>
    <s v="Y"/>
    <s v="No"/>
    <n v="19"/>
    <n v="3"/>
    <n v="4"/>
    <n v="80"/>
    <n v="1"/>
    <n v="8"/>
    <n v="2"/>
    <n v="2"/>
    <n v="7"/>
    <n v="6"/>
    <n v="7"/>
    <n v="3"/>
  </r>
  <r>
    <n v="39"/>
    <x v="0"/>
    <x v="1"/>
    <s v="Travel_Rarely"/>
    <n v="835"/>
    <x v="1"/>
    <n v="19"/>
    <n v="4"/>
    <x v="1"/>
    <n v="1"/>
    <n v="1871"/>
    <n v="4"/>
    <x v="1"/>
    <n v="41"/>
    <n v="3"/>
    <n v="2"/>
    <x v="1"/>
    <n v="4"/>
    <x v="2"/>
    <n v="3902"/>
    <n v="5141"/>
    <n v="8"/>
    <s v="Y"/>
    <s v="No"/>
    <n v="14"/>
    <n v="3"/>
    <n v="2"/>
    <n v="80"/>
    <n v="3"/>
    <n v="7"/>
    <n v="2"/>
    <n v="3"/>
    <n v="2"/>
    <n v="2"/>
    <n v="2"/>
    <n v="2"/>
  </r>
  <r>
    <n v="55"/>
    <x v="1"/>
    <x v="1"/>
    <s v="Travel_Rarely"/>
    <n v="836"/>
    <x v="1"/>
    <n v="2"/>
    <n v="4"/>
    <x v="4"/>
    <n v="1"/>
    <n v="1873"/>
    <n v="2"/>
    <x v="1"/>
    <n v="98"/>
    <n v="2"/>
    <n v="1"/>
    <x v="1"/>
    <n v="4"/>
    <x v="1"/>
    <n v="2662"/>
    <n v="7975"/>
    <n v="8"/>
    <s v="Y"/>
    <s v="No"/>
    <n v="20"/>
    <n v="4"/>
    <n v="2"/>
    <n v="80"/>
    <n v="1"/>
    <n v="19"/>
    <n v="2"/>
    <n v="4"/>
    <n v="5"/>
    <n v="2"/>
    <n v="0"/>
    <n v="4"/>
  </r>
  <r>
    <n v="28"/>
    <x v="2"/>
    <x v="1"/>
    <s v="Travel_Rarely"/>
    <n v="1172"/>
    <x v="0"/>
    <n v="3"/>
    <n v="3"/>
    <x v="2"/>
    <n v="1"/>
    <n v="1875"/>
    <n v="2"/>
    <x v="0"/>
    <n v="78"/>
    <n v="3"/>
    <n v="1"/>
    <x v="6"/>
    <n v="2"/>
    <x v="1"/>
    <n v="2856"/>
    <n v="3692"/>
    <n v="1"/>
    <s v="Y"/>
    <s v="No"/>
    <n v="19"/>
    <n v="3"/>
    <n v="4"/>
    <n v="80"/>
    <n v="1"/>
    <n v="1"/>
    <n v="3"/>
    <n v="3"/>
    <n v="1"/>
    <n v="0"/>
    <n v="0"/>
    <n v="0"/>
  </r>
  <r>
    <n v="30"/>
    <x v="2"/>
    <x v="0"/>
    <s v="Travel_Rarely"/>
    <n v="945"/>
    <x v="0"/>
    <n v="9"/>
    <n v="3"/>
    <x v="2"/>
    <n v="1"/>
    <n v="1876"/>
    <n v="2"/>
    <x v="1"/>
    <n v="89"/>
    <n v="3"/>
    <n v="1"/>
    <x v="6"/>
    <n v="4"/>
    <x v="0"/>
    <n v="1081"/>
    <n v="16019"/>
    <n v="1"/>
    <s v="Y"/>
    <s v="No"/>
    <n v="13"/>
    <n v="3"/>
    <n v="3"/>
    <n v="80"/>
    <n v="0"/>
    <n v="1"/>
    <n v="3"/>
    <n v="2"/>
    <n v="1"/>
    <n v="0"/>
    <n v="0"/>
    <n v="0"/>
  </r>
  <r>
    <n v="22"/>
    <x v="3"/>
    <x v="0"/>
    <s v="Travel_Rarely"/>
    <n v="391"/>
    <x v="1"/>
    <n v="7"/>
    <n v="1"/>
    <x v="0"/>
    <n v="1"/>
    <n v="1878"/>
    <n v="4"/>
    <x v="1"/>
    <n v="75"/>
    <n v="3"/>
    <n v="1"/>
    <x v="1"/>
    <n v="2"/>
    <x v="0"/>
    <n v="2472"/>
    <n v="26092"/>
    <n v="1"/>
    <s v="Y"/>
    <s v="Yes"/>
    <n v="23"/>
    <n v="4"/>
    <n v="1"/>
    <n v="80"/>
    <n v="0"/>
    <n v="1"/>
    <n v="2"/>
    <n v="3"/>
    <n v="1"/>
    <n v="0"/>
    <n v="0"/>
    <n v="0"/>
  </r>
  <r>
    <n v="36"/>
    <x v="0"/>
    <x v="1"/>
    <s v="Travel_Rarely"/>
    <n v="1266"/>
    <x v="0"/>
    <n v="10"/>
    <n v="4"/>
    <x v="4"/>
    <n v="1"/>
    <n v="1880"/>
    <n v="2"/>
    <x v="0"/>
    <n v="63"/>
    <n v="2"/>
    <n v="2"/>
    <x v="0"/>
    <n v="3"/>
    <x v="1"/>
    <n v="5673"/>
    <n v="6060"/>
    <n v="1"/>
    <s v="Y"/>
    <s v="Yes"/>
    <n v="13"/>
    <n v="3"/>
    <n v="1"/>
    <n v="80"/>
    <n v="1"/>
    <n v="10"/>
    <n v="4"/>
    <n v="3"/>
    <n v="10"/>
    <n v="9"/>
    <n v="1"/>
    <n v="7"/>
  </r>
  <r>
    <n v="31"/>
    <x v="2"/>
    <x v="1"/>
    <s v="Travel_Rarely"/>
    <n v="311"/>
    <x v="1"/>
    <n v="20"/>
    <n v="3"/>
    <x v="0"/>
    <n v="1"/>
    <n v="1881"/>
    <n v="2"/>
    <x v="1"/>
    <n v="89"/>
    <n v="3"/>
    <n v="2"/>
    <x v="2"/>
    <n v="3"/>
    <x v="2"/>
    <n v="4197"/>
    <n v="18624"/>
    <n v="1"/>
    <s v="Y"/>
    <s v="No"/>
    <n v="11"/>
    <n v="3"/>
    <n v="1"/>
    <n v="80"/>
    <n v="1"/>
    <n v="10"/>
    <n v="2"/>
    <n v="3"/>
    <n v="10"/>
    <n v="8"/>
    <n v="0"/>
    <n v="2"/>
  </r>
  <r>
    <n v="34"/>
    <x v="2"/>
    <x v="1"/>
    <s v="Travel_Rarely"/>
    <n v="1480"/>
    <x v="0"/>
    <n v="4"/>
    <n v="3"/>
    <x v="0"/>
    <n v="1"/>
    <n v="1882"/>
    <n v="3"/>
    <x v="1"/>
    <n v="64"/>
    <n v="3"/>
    <n v="3"/>
    <x v="0"/>
    <n v="4"/>
    <x v="1"/>
    <n v="9713"/>
    <n v="24444"/>
    <n v="2"/>
    <s v="Y"/>
    <s v="Yes"/>
    <n v="13"/>
    <n v="3"/>
    <n v="4"/>
    <n v="80"/>
    <n v="3"/>
    <n v="9"/>
    <n v="3"/>
    <n v="3"/>
    <n v="5"/>
    <n v="3"/>
    <n v="1"/>
    <n v="0"/>
  </r>
  <r>
    <n v="29"/>
    <x v="2"/>
    <x v="1"/>
    <s v="Travel_Rarely"/>
    <n v="592"/>
    <x v="1"/>
    <n v="7"/>
    <n v="3"/>
    <x v="0"/>
    <n v="1"/>
    <n v="1883"/>
    <n v="4"/>
    <x v="1"/>
    <n v="59"/>
    <n v="3"/>
    <n v="1"/>
    <x v="2"/>
    <n v="1"/>
    <x v="0"/>
    <n v="2062"/>
    <n v="19384"/>
    <n v="3"/>
    <s v="Y"/>
    <s v="No"/>
    <n v="14"/>
    <n v="3"/>
    <n v="2"/>
    <n v="80"/>
    <n v="0"/>
    <n v="11"/>
    <n v="2"/>
    <n v="3"/>
    <n v="3"/>
    <n v="2"/>
    <n v="1"/>
    <n v="2"/>
  </r>
  <r>
    <n v="37"/>
    <x v="0"/>
    <x v="1"/>
    <s v="Travel_Rarely"/>
    <n v="783"/>
    <x v="1"/>
    <n v="7"/>
    <n v="4"/>
    <x v="2"/>
    <n v="1"/>
    <n v="1885"/>
    <n v="4"/>
    <x v="1"/>
    <n v="78"/>
    <n v="3"/>
    <n v="2"/>
    <x v="1"/>
    <n v="1"/>
    <x v="1"/>
    <n v="4284"/>
    <n v="13588"/>
    <n v="5"/>
    <s v="Y"/>
    <s v="Yes"/>
    <n v="22"/>
    <n v="4"/>
    <n v="3"/>
    <n v="80"/>
    <n v="1"/>
    <n v="16"/>
    <n v="2"/>
    <n v="3"/>
    <n v="5"/>
    <n v="3"/>
    <n v="0"/>
    <n v="4"/>
  </r>
  <r>
    <n v="35"/>
    <x v="2"/>
    <x v="1"/>
    <s v="Travel_Rarely"/>
    <n v="219"/>
    <x v="1"/>
    <n v="16"/>
    <n v="2"/>
    <x v="1"/>
    <n v="1"/>
    <n v="1886"/>
    <n v="4"/>
    <x v="0"/>
    <n v="44"/>
    <n v="2"/>
    <n v="2"/>
    <x v="3"/>
    <n v="2"/>
    <x v="1"/>
    <n v="4788"/>
    <n v="25388"/>
    <n v="0"/>
    <s v="Y"/>
    <s v="Yes"/>
    <n v="11"/>
    <n v="3"/>
    <n v="4"/>
    <n v="80"/>
    <n v="0"/>
    <n v="4"/>
    <n v="2"/>
    <n v="3"/>
    <n v="3"/>
    <n v="2"/>
    <n v="0"/>
    <n v="2"/>
  </r>
  <r>
    <n v="45"/>
    <x v="0"/>
    <x v="1"/>
    <s v="Travel_Rarely"/>
    <n v="556"/>
    <x v="1"/>
    <n v="25"/>
    <n v="2"/>
    <x v="0"/>
    <n v="1"/>
    <n v="1888"/>
    <n v="2"/>
    <x v="0"/>
    <n v="93"/>
    <n v="2"/>
    <n v="2"/>
    <x v="3"/>
    <n v="4"/>
    <x v="1"/>
    <n v="5906"/>
    <n v="23888"/>
    <n v="0"/>
    <s v="Y"/>
    <s v="No"/>
    <n v="13"/>
    <n v="3"/>
    <n v="4"/>
    <n v="80"/>
    <n v="2"/>
    <n v="10"/>
    <n v="2"/>
    <n v="2"/>
    <n v="9"/>
    <n v="8"/>
    <n v="3"/>
    <n v="8"/>
  </r>
  <r>
    <n v="36"/>
    <x v="0"/>
    <x v="1"/>
    <s v="Travel_Frequently"/>
    <n v="1213"/>
    <x v="2"/>
    <n v="2"/>
    <n v="1"/>
    <x v="5"/>
    <n v="1"/>
    <n v="1890"/>
    <n v="2"/>
    <x v="1"/>
    <n v="94"/>
    <n v="2"/>
    <n v="2"/>
    <x v="8"/>
    <n v="4"/>
    <x v="0"/>
    <n v="3886"/>
    <n v="4223"/>
    <n v="1"/>
    <s v="Y"/>
    <s v="No"/>
    <n v="21"/>
    <n v="4"/>
    <n v="4"/>
    <n v="80"/>
    <n v="0"/>
    <n v="10"/>
    <n v="2"/>
    <n v="2"/>
    <n v="10"/>
    <n v="1"/>
    <n v="0"/>
    <n v="8"/>
  </r>
  <r>
    <n v="40"/>
    <x v="0"/>
    <x v="1"/>
    <s v="Travel_Rarely"/>
    <n v="1137"/>
    <x v="1"/>
    <n v="1"/>
    <n v="4"/>
    <x v="0"/>
    <n v="1"/>
    <n v="1892"/>
    <n v="1"/>
    <x v="1"/>
    <n v="98"/>
    <n v="3"/>
    <n v="4"/>
    <x v="5"/>
    <n v="1"/>
    <x v="2"/>
    <n v="16823"/>
    <n v="18991"/>
    <n v="2"/>
    <s v="Y"/>
    <s v="No"/>
    <n v="11"/>
    <n v="3"/>
    <n v="1"/>
    <n v="80"/>
    <n v="1"/>
    <n v="22"/>
    <n v="3"/>
    <n v="3"/>
    <n v="19"/>
    <n v="7"/>
    <n v="11"/>
    <n v="16"/>
  </r>
  <r>
    <n v="26"/>
    <x v="2"/>
    <x v="1"/>
    <s v="Travel_Rarely"/>
    <n v="482"/>
    <x v="1"/>
    <n v="1"/>
    <n v="2"/>
    <x v="0"/>
    <n v="1"/>
    <n v="1893"/>
    <n v="2"/>
    <x v="0"/>
    <n v="90"/>
    <n v="2"/>
    <n v="1"/>
    <x v="1"/>
    <n v="3"/>
    <x v="1"/>
    <n v="2933"/>
    <n v="14908"/>
    <n v="1"/>
    <s v="Y"/>
    <s v="Yes"/>
    <n v="13"/>
    <n v="3"/>
    <n v="3"/>
    <n v="80"/>
    <n v="1"/>
    <n v="1"/>
    <n v="3"/>
    <n v="2"/>
    <n v="1"/>
    <n v="0"/>
    <n v="1"/>
    <n v="0"/>
  </r>
  <r>
    <n v="27"/>
    <x v="2"/>
    <x v="1"/>
    <s v="Travel_Rarely"/>
    <n v="511"/>
    <x v="0"/>
    <n v="2"/>
    <n v="2"/>
    <x v="2"/>
    <n v="1"/>
    <n v="1898"/>
    <n v="1"/>
    <x v="0"/>
    <n v="89"/>
    <n v="4"/>
    <n v="2"/>
    <x v="0"/>
    <n v="3"/>
    <x v="0"/>
    <n v="6500"/>
    <n v="26997"/>
    <n v="0"/>
    <s v="Y"/>
    <s v="No"/>
    <n v="14"/>
    <n v="3"/>
    <n v="2"/>
    <n v="80"/>
    <n v="0"/>
    <n v="9"/>
    <n v="5"/>
    <n v="2"/>
    <n v="8"/>
    <n v="7"/>
    <n v="0"/>
    <n v="7"/>
  </r>
  <r>
    <n v="48"/>
    <x v="1"/>
    <x v="1"/>
    <s v="Travel_Frequently"/>
    <n v="117"/>
    <x v="1"/>
    <n v="22"/>
    <n v="3"/>
    <x v="2"/>
    <n v="1"/>
    <n v="1900"/>
    <n v="4"/>
    <x v="0"/>
    <n v="58"/>
    <n v="3"/>
    <n v="4"/>
    <x v="5"/>
    <n v="4"/>
    <x v="2"/>
    <n v="17174"/>
    <n v="2437"/>
    <n v="3"/>
    <s v="Y"/>
    <s v="No"/>
    <n v="11"/>
    <n v="3"/>
    <n v="2"/>
    <n v="80"/>
    <n v="1"/>
    <n v="24"/>
    <n v="3"/>
    <n v="3"/>
    <n v="22"/>
    <n v="17"/>
    <n v="4"/>
    <n v="7"/>
  </r>
  <r>
    <n v="44"/>
    <x v="0"/>
    <x v="1"/>
    <s v="Travel_Rarely"/>
    <n v="170"/>
    <x v="1"/>
    <n v="1"/>
    <n v="4"/>
    <x v="0"/>
    <n v="1"/>
    <n v="1903"/>
    <n v="2"/>
    <x v="1"/>
    <n v="78"/>
    <n v="4"/>
    <n v="2"/>
    <x v="4"/>
    <n v="1"/>
    <x v="1"/>
    <n v="5033"/>
    <n v="9364"/>
    <n v="2"/>
    <s v="Y"/>
    <s v="No"/>
    <n v="15"/>
    <n v="3"/>
    <n v="4"/>
    <n v="80"/>
    <n v="1"/>
    <n v="10"/>
    <n v="5"/>
    <n v="3"/>
    <n v="2"/>
    <n v="0"/>
    <n v="2"/>
    <n v="2"/>
  </r>
  <r>
    <n v="34"/>
    <x v="2"/>
    <x v="0"/>
    <s v="Non-Travel"/>
    <n v="967"/>
    <x v="1"/>
    <n v="16"/>
    <n v="4"/>
    <x v="4"/>
    <n v="1"/>
    <n v="1905"/>
    <n v="4"/>
    <x v="1"/>
    <n v="85"/>
    <n v="1"/>
    <n v="1"/>
    <x v="1"/>
    <n v="1"/>
    <x v="1"/>
    <n v="2307"/>
    <n v="14460"/>
    <n v="1"/>
    <s v="Y"/>
    <s v="Yes"/>
    <n v="23"/>
    <n v="4"/>
    <n v="2"/>
    <n v="80"/>
    <n v="1"/>
    <n v="5"/>
    <n v="2"/>
    <n v="3"/>
    <n v="5"/>
    <n v="2"/>
    <n v="3"/>
    <n v="0"/>
  </r>
  <r>
    <n v="56"/>
    <x v="1"/>
    <x v="0"/>
    <s v="Travel_Rarely"/>
    <n v="1162"/>
    <x v="1"/>
    <n v="24"/>
    <n v="2"/>
    <x v="0"/>
    <n v="1"/>
    <n v="1907"/>
    <n v="1"/>
    <x v="1"/>
    <n v="97"/>
    <n v="3"/>
    <n v="1"/>
    <x v="2"/>
    <n v="4"/>
    <x v="0"/>
    <n v="2587"/>
    <n v="10261"/>
    <n v="1"/>
    <s v="Y"/>
    <s v="No"/>
    <n v="16"/>
    <n v="3"/>
    <n v="4"/>
    <n v="80"/>
    <n v="0"/>
    <n v="5"/>
    <n v="3"/>
    <n v="3"/>
    <n v="4"/>
    <n v="2"/>
    <n v="1"/>
    <n v="0"/>
  </r>
  <r>
    <n v="36"/>
    <x v="0"/>
    <x v="1"/>
    <s v="Travel_Rarely"/>
    <n v="335"/>
    <x v="0"/>
    <n v="17"/>
    <n v="2"/>
    <x v="3"/>
    <n v="1"/>
    <n v="1908"/>
    <n v="3"/>
    <x v="1"/>
    <n v="33"/>
    <n v="2"/>
    <n v="2"/>
    <x v="0"/>
    <n v="2"/>
    <x v="1"/>
    <n v="5507"/>
    <n v="16822"/>
    <n v="2"/>
    <s v="Y"/>
    <s v="No"/>
    <n v="16"/>
    <n v="3"/>
    <n v="3"/>
    <n v="80"/>
    <n v="2"/>
    <n v="12"/>
    <n v="1"/>
    <n v="1"/>
    <n v="4"/>
    <n v="2"/>
    <n v="1"/>
    <n v="3"/>
  </r>
  <r>
    <n v="41"/>
    <x v="0"/>
    <x v="1"/>
    <s v="Travel_Rarely"/>
    <n v="337"/>
    <x v="0"/>
    <n v="8"/>
    <n v="3"/>
    <x v="3"/>
    <n v="1"/>
    <n v="1909"/>
    <n v="3"/>
    <x v="0"/>
    <n v="54"/>
    <n v="3"/>
    <n v="2"/>
    <x v="0"/>
    <n v="2"/>
    <x v="1"/>
    <n v="4393"/>
    <n v="26841"/>
    <n v="5"/>
    <s v="Y"/>
    <s v="No"/>
    <n v="21"/>
    <n v="4"/>
    <n v="3"/>
    <n v="80"/>
    <n v="1"/>
    <n v="14"/>
    <n v="3"/>
    <n v="3"/>
    <n v="5"/>
    <n v="4"/>
    <n v="1"/>
    <n v="4"/>
  </r>
  <r>
    <n v="42"/>
    <x v="0"/>
    <x v="1"/>
    <s v="Travel_Rarely"/>
    <n v="1396"/>
    <x v="1"/>
    <n v="6"/>
    <n v="3"/>
    <x v="2"/>
    <n v="1"/>
    <n v="1911"/>
    <n v="3"/>
    <x v="1"/>
    <n v="83"/>
    <n v="3"/>
    <n v="3"/>
    <x v="7"/>
    <n v="1"/>
    <x v="1"/>
    <n v="13348"/>
    <n v="14842"/>
    <n v="9"/>
    <s v="Y"/>
    <s v="No"/>
    <n v="13"/>
    <n v="3"/>
    <n v="2"/>
    <n v="80"/>
    <n v="1"/>
    <n v="18"/>
    <n v="3"/>
    <n v="4"/>
    <n v="13"/>
    <n v="7"/>
    <n v="5"/>
    <n v="7"/>
  </r>
  <r>
    <n v="31"/>
    <x v="2"/>
    <x v="1"/>
    <s v="Travel_Rarely"/>
    <n v="1079"/>
    <x v="0"/>
    <n v="10"/>
    <n v="2"/>
    <x v="2"/>
    <n v="1"/>
    <n v="1912"/>
    <n v="3"/>
    <x v="0"/>
    <n v="86"/>
    <n v="3"/>
    <n v="2"/>
    <x v="0"/>
    <n v="4"/>
    <x v="2"/>
    <n v="6583"/>
    <n v="20115"/>
    <n v="2"/>
    <s v="Y"/>
    <s v="Yes"/>
    <n v="11"/>
    <n v="3"/>
    <n v="4"/>
    <n v="80"/>
    <n v="1"/>
    <n v="8"/>
    <n v="2"/>
    <n v="3"/>
    <n v="5"/>
    <n v="2"/>
    <n v="1"/>
    <n v="4"/>
  </r>
  <r>
    <n v="34"/>
    <x v="2"/>
    <x v="1"/>
    <s v="Travel_Rarely"/>
    <n v="735"/>
    <x v="0"/>
    <n v="3"/>
    <n v="1"/>
    <x v="2"/>
    <n v="1"/>
    <n v="1915"/>
    <n v="4"/>
    <x v="0"/>
    <n v="75"/>
    <n v="2"/>
    <n v="2"/>
    <x v="0"/>
    <n v="4"/>
    <x v="1"/>
    <n v="8103"/>
    <n v="16495"/>
    <n v="3"/>
    <s v="Y"/>
    <s v="Yes"/>
    <n v="12"/>
    <n v="3"/>
    <n v="3"/>
    <n v="80"/>
    <n v="0"/>
    <n v="9"/>
    <n v="3"/>
    <n v="2"/>
    <n v="4"/>
    <n v="2"/>
    <n v="0"/>
    <n v="1"/>
  </r>
  <r>
    <n v="31"/>
    <x v="2"/>
    <x v="1"/>
    <s v="Travel_Rarely"/>
    <n v="471"/>
    <x v="1"/>
    <n v="4"/>
    <n v="3"/>
    <x v="2"/>
    <n v="1"/>
    <n v="1916"/>
    <n v="1"/>
    <x v="0"/>
    <n v="62"/>
    <n v="4"/>
    <n v="1"/>
    <x v="2"/>
    <n v="3"/>
    <x v="2"/>
    <n v="3978"/>
    <n v="16031"/>
    <n v="8"/>
    <s v="Y"/>
    <s v="No"/>
    <n v="12"/>
    <n v="3"/>
    <n v="2"/>
    <n v="80"/>
    <n v="1"/>
    <n v="4"/>
    <n v="0"/>
    <n v="2"/>
    <n v="2"/>
    <n v="2"/>
    <n v="2"/>
    <n v="2"/>
  </r>
  <r>
    <n v="26"/>
    <x v="2"/>
    <x v="1"/>
    <s v="Travel_Frequently"/>
    <n v="1096"/>
    <x v="1"/>
    <n v="6"/>
    <n v="3"/>
    <x v="1"/>
    <n v="1"/>
    <n v="1918"/>
    <n v="3"/>
    <x v="1"/>
    <n v="61"/>
    <n v="4"/>
    <n v="1"/>
    <x v="2"/>
    <n v="4"/>
    <x v="1"/>
    <n v="2544"/>
    <n v="7102"/>
    <n v="0"/>
    <s v="Y"/>
    <s v="No"/>
    <n v="18"/>
    <n v="3"/>
    <n v="1"/>
    <n v="80"/>
    <n v="1"/>
    <n v="8"/>
    <n v="3"/>
    <n v="3"/>
    <n v="7"/>
    <n v="7"/>
    <n v="7"/>
    <n v="7"/>
  </r>
  <r>
    <n v="45"/>
    <x v="0"/>
    <x v="1"/>
    <s v="Travel_Frequently"/>
    <n v="1297"/>
    <x v="1"/>
    <n v="1"/>
    <n v="4"/>
    <x v="2"/>
    <n v="1"/>
    <n v="1922"/>
    <n v="2"/>
    <x v="1"/>
    <n v="44"/>
    <n v="3"/>
    <n v="2"/>
    <x v="4"/>
    <n v="3"/>
    <x v="0"/>
    <n v="5399"/>
    <n v="14511"/>
    <n v="4"/>
    <s v="Y"/>
    <s v="No"/>
    <n v="12"/>
    <n v="3"/>
    <n v="3"/>
    <n v="80"/>
    <n v="0"/>
    <n v="12"/>
    <n v="3"/>
    <n v="3"/>
    <n v="4"/>
    <n v="2"/>
    <n v="0"/>
    <n v="3"/>
  </r>
  <r>
    <n v="33"/>
    <x v="2"/>
    <x v="1"/>
    <s v="Travel_Rarely"/>
    <n v="217"/>
    <x v="0"/>
    <n v="10"/>
    <n v="4"/>
    <x v="3"/>
    <n v="1"/>
    <n v="1924"/>
    <n v="2"/>
    <x v="1"/>
    <n v="43"/>
    <n v="3"/>
    <n v="2"/>
    <x v="0"/>
    <n v="3"/>
    <x v="0"/>
    <n v="5487"/>
    <n v="10410"/>
    <n v="1"/>
    <s v="Y"/>
    <s v="No"/>
    <n v="14"/>
    <n v="3"/>
    <n v="2"/>
    <n v="80"/>
    <n v="0"/>
    <n v="10"/>
    <n v="2"/>
    <n v="2"/>
    <n v="10"/>
    <n v="4"/>
    <n v="0"/>
    <n v="9"/>
  </r>
  <r>
    <n v="28"/>
    <x v="2"/>
    <x v="1"/>
    <s v="Travel_Frequently"/>
    <n v="783"/>
    <x v="0"/>
    <n v="1"/>
    <n v="2"/>
    <x v="0"/>
    <n v="1"/>
    <n v="1927"/>
    <n v="3"/>
    <x v="1"/>
    <n v="42"/>
    <n v="2"/>
    <n v="2"/>
    <x v="0"/>
    <n v="4"/>
    <x v="1"/>
    <n v="6834"/>
    <n v="19255"/>
    <n v="1"/>
    <s v="Y"/>
    <s v="Yes"/>
    <n v="12"/>
    <n v="3"/>
    <n v="3"/>
    <n v="80"/>
    <n v="1"/>
    <n v="7"/>
    <n v="2"/>
    <n v="3"/>
    <n v="7"/>
    <n v="7"/>
    <n v="0"/>
    <n v="7"/>
  </r>
  <r>
    <n v="29"/>
    <x v="2"/>
    <x v="0"/>
    <s v="Travel_Frequently"/>
    <n v="746"/>
    <x v="0"/>
    <n v="24"/>
    <n v="3"/>
    <x v="4"/>
    <n v="1"/>
    <n v="1928"/>
    <n v="3"/>
    <x v="1"/>
    <n v="45"/>
    <n v="4"/>
    <n v="1"/>
    <x v="6"/>
    <n v="1"/>
    <x v="0"/>
    <n v="1091"/>
    <n v="10642"/>
    <n v="1"/>
    <s v="Y"/>
    <s v="No"/>
    <n v="17"/>
    <n v="3"/>
    <n v="4"/>
    <n v="80"/>
    <n v="0"/>
    <n v="1"/>
    <n v="3"/>
    <n v="3"/>
    <n v="1"/>
    <n v="0"/>
    <n v="0"/>
    <n v="0"/>
  </r>
  <r>
    <n v="39"/>
    <x v="0"/>
    <x v="1"/>
    <s v="Non-Travel"/>
    <n v="1251"/>
    <x v="0"/>
    <n v="21"/>
    <n v="4"/>
    <x v="0"/>
    <n v="1"/>
    <n v="1929"/>
    <n v="1"/>
    <x v="0"/>
    <n v="32"/>
    <n v="1"/>
    <n v="2"/>
    <x v="0"/>
    <n v="3"/>
    <x v="1"/>
    <n v="5736"/>
    <n v="3987"/>
    <n v="6"/>
    <s v="Y"/>
    <s v="No"/>
    <n v="19"/>
    <n v="3"/>
    <n v="3"/>
    <n v="80"/>
    <n v="1"/>
    <n v="10"/>
    <n v="1"/>
    <n v="3"/>
    <n v="3"/>
    <n v="2"/>
    <n v="1"/>
    <n v="2"/>
  </r>
  <r>
    <n v="27"/>
    <x v="2"/>
    <x v="1"/>
    <s v="Travel_Rarely"/>
    <n v="1354"/>
    <x v="1"/>
    <n v="2"/>
    <n v="4"/>
    <x v="4"/>
    <n v="1"/>
    <n v="1931"/>
    <n v="2"/>
    <x v="1"/>
    <n v="41"/>
    <n v="3"/>
    <n v="1"/>
    <x v="1"/>
    <n v="2"/>
    <x v="1"/>
    <n v="2226"/>
    <n v="6073"/>
    <n v="1"/>
    <s v="Y"/>
    <s v="No"/>
    <n v="11"/>
    <n v="3"/>
    <n v="3"/>
    <n v="80"/>
    <n v="1"/>
    <n v="6"/>
    <n v="3"/>
    <n v="2"/>
    <n v="5"/>
    <n v="3"/>
    <n v="1"/>
    <n v="2"/>
  </r>
  <r>
    <n v="34"/>
    <x v="2"/>
    <x v="1"/>
    <s v="Travel_Frequently"/>
    <n v="735"/>
    <x v="1"/>
    <n v="22"/>
    <n v="4"/>
    <x v="1"/>
    <n v="1"/>
    <n v="1932"/>
    <n v="3"/>
    <x v="1"/>
    <n v="86"/>
    <n v="2"/>
    <n v="2"/>
    <x v="1"/>
    <n v="4"/>
    <x v="1"/>
    <n v="5747"/>
    <n v="26496"/>
    <n v="1"/>
    <s v="Y"/>
    <s v="Yes"/>
    <n v="15"/>
    <n v="3"/>
    <n v="2"/>
    <n v="80"/>
    <n v="0"/>
    <n v="16"/>
    <n v="3"/>
    <n v="3"/>
    <n v="15"/>
    <n v="10"/>
    <n v="6"/>
    <n v="11"/>
  </r>
  <r>
    <n v="28"/>
    <x v="2"/>
    <x v="0"/>
    <s v="Travel_Rarely"/>
    <n v="1475"/>
    <x v="0"/>
    <n v="13"/>
    <n v="2"/>
    <x v="3"/>
    <n v="1"/>
    <n v="1933"/>
    <n v="4"/>
    <x v="0"/>
    <n v="84"/>
    <n v="3"/>
    <n v="2"/>
    <x v="0"/>
    <n v="3"/>
    <x v="0"/>
    <n v="9854"/>
    <n v="23352"/>
    <n v="3"/>
    <s v="Y"/>
    <s v="Yes"/>
    <n v="11"/>
    <n v="3"/>
    <n v="4"/>
    <n v="80"/>
    <n v="0"/>
    <n v="6"/>
    <n v="0"/>
    <n v="3"/>
    <n v="2"/>
    <n v="0"/>
    <n v="2"/>
    <n v="2"/>
  </r>
  <r>
    <n v="47"/>
    <x v="1"/>
    <x v="1"/>
    <s v="Non-Travel"/>
    <n v="1169"/>
    <x v="1"/>
    <n v="14"/>
    <n v="4"/>
    <x v="4"/>
    <n v="1"/>
    <n v="1934"/>
    <n v="3"/>
    <x v="1"/>
    <n v="64"/>
    <n v="3"/>
    <n v="2"/>
    <x v="1"/>
    <n v="2"/>
    <x v="1"/>
    <n v="5467"/>
    <n v="2125"/>
    <n v="8"/>
    <s v="Y"/>
    <s v="No"/>
    <n v="18"/>
    <n v="3"/>
    <n v="3"/>
    <n v="80"/>
    <n v="1"/>
    <n v="16"/>
    <n v="4"/>
    <n v="4"/>
    <n v="8"/>
    <n v="7"/>
    <n v="1"/>
    <n v="7"/>
  </r>
  <r>
    <n v="56"/>
    <x v="1"/>
    <x v="1"/>
    <s v="Travel_Rarely"/>
    <n v="1443"/>
    <x v="0"/>
    <n v="11"/>
    <n v="5"/>
    <x v="3"/>
    <n v="1"/>
    <n v="1935"/>
    <n v="4"/>
    <x v="0"/>
    <n v="89"/>
    <n v="2"/>
    <n v="2"/>
    <x v="0"/>
    <n v="1"/>
    <x v="1"/>
    <n v="5380"/>
    <n v="20328"/>
    <n v="4"/>
    <s v="Y"/>
    <s v="No"/>
    <n v="16"/>
    <n v="3"/>
    <n v="3"/>
    <n v="80"/>
    <n v="1"/>
    <n v="6"/>
    <n v="3"/>
    <n v="3"/>
    <n v="0"/>
    <n v="0"/>
    <n v="0"/>
    <n v="0"/>
  </r>
  <r>
    <n v="39"/>
    <x v="0"/>
    <x v="1"/>
    <s v="Travel_Rarely"/>
    <n v="867"/>
    <x v="1"/>
    <n v="9"/>
    <n v="2"/>
    <x v="2"/>
    <n v="1"/>
    <n v="1936"/>
    <n v="1"/>
    <x v="1"/>
    <n v="87"/>
    <n v="3"/>
    <n v="2"/>
    <x v="3"/>
    <n v="1"/>
    <x v="1"/>
    <n v="5151"/>
    <n v="12315"/>
    <n v="1"/>
    <s v="Y"/>
    <s v="No"/>
    <n v="25"/>
    <n v="4"/>
    <n v="4"/>
    <n v="80"/>
    <n v="1"/>
    <n v="10"/>
    <n v="3"/>
    <n v="3"/>
    <n v="10"/>
    <n v="0"/>
    <n v="7"/>
    <n v="9"/>
  </r>
  <r>
    <n v="38"/>
    <x v="0"/>
    <x v="1"/>
    <s v="Travel_Frequently"/>
    <n v="1394"/>
    <x v="1"/>
    <n v="8"/>
    <n v="3"/>
    <x v="2"/>
    <n v="1"/>
    <n v="1937"/>
    <n v="4"/>
    <x v="0"/>
    <n v="58"/>
    <n v="2"/>
    <n v="2"/>
    <x v="1"/>
    <n v="2"/>
    <x v="2"/>
    <n v="2133"/>
    <n v="18115"/>
    <n v="1"/>
    <s v="Y"/>
    <s v="Yes"/>
    <n v="16"/>
    <n v="3"/>
    <n v="3"/>
    <n v="80"/>
    <n v="1"/>
    <n v="20"/>
    <n v="3"/>
    <n v="3"/>
    <n v="20"/>
    <n v="11"/>
    <n v="0"/>
    <n v="7"/>
  </r>
  <r>
    <n v="58"/>
    <x v="1"/>
    <x v="1"/>
    <s v="Travel_Rarely"/>
    <n v="605"/>
    <x v="0"/>
    <n v="21"/>
    <n v="3"/>
    <x v="0"/>
    <n v="1"/>
    <n v="1938"/>
    <n v="4"/>
    <x v="0"/>
    <n v="72"/>
    <n v="3"/>
    <n v="4"/>
    <x v="5"/>
    <n v="4"/>
    <x v="1"/>
    <n v="17875"/>
    <n v="11761"/>
    <n v="4"/>
    <s v="Y"/>
    <s v="Yes"/>
    <n v="13"/>
    <n v="3"/>
    <n v="3"/>
    <n v="80"/>
    <n v="1"/>
    <n v="29"/>
    <n v="2"/>
    <n v="2"/>
    <n v="1"/>
    <n v="0"/>
    <n v="0"/>
    <n v="0"/>
  </r>
  <r>
    <n v="32"/>
    <x v="2"/>
    <x v="0"/>
    <s v="Travel_Frequently"/>
    <n v="238"/>
    <x v="1"/>
    <n v="5"/>
    <n v="2"/>
    <x v="0"/>
    <n v="1"/>
    <n v="1939"/>
    <n v="1"/>
    <x v="0"/>
    <n v="47"/>
    <n v="4"/>
    <n v="1"/>
    <x v="1"/>
    <n v="3"/>
    <x v="0"/>
    <n v="2432"/>
    <n v="15318"/>
    <n v="3"/>
    <s v="Y"/>
    <s v="Yes"/>
    <n v="14"/>
    <n v="3"/>
    <n v="1"/>
    <n v="80"/>
    <n v="0"/>
    <n v="8"/>
    <n v="2"/>
    <n v="3"/>
    <n v="4"/>
    <n v="1"/>
    <n v="0"/>
    <n v="3"/>
  </r>
  <r>
    <n v="38"/>
    <x v="0"/>
    <x v="1"/>
    <s v="Travel_Rarely"/>
    <n v="1206"/>
    <x v="1"/>
    <n v="9"/>
    <n v="2"/>
    <x v="0"/>
    <n v="1"/>
    <n v="1940"/>
    <n v="2"/>
    <x v="1"/>
    <n v="71"/>
    <n v="3"/>
    <n v="1"/>
    <x v="1"/>
    <n v="4"/>
    <x v="2"/>
    <n v="4771"/>
    <n v="14293"/>
    <n v="2"/>
    <s v="Y"/>
    <s v="No"/>
    <n v="19"/>
    <n v="3"/>
    <n v="4"/>
    <n v="80"/>
    <n v="2"/>
    <n v="10"/>
    <n v="0"/>
    <n v="4"/>
    <n v="5"/>
    <n v="2"/>
    <n v="0"/>
    <n v="3"/>
  </r>
  <r>
    <n v="49"/>
    <x v="1"/>
    <x v="1"/>
    <s v="Travel_Frequently"/>
    <n v="1064"/>
    <x v="1"/>
    <n v="2"/>
    <n v="1"/>
    <x v="0"/>
    <n v="1"/>
    <n v="1941"/>
    <n v="2"/>
    <x v="1"/>
    <n v="42"/>
    <n v="3"/>
    <n v="5"/>
    <x v="7"/>
    <n v="4"/>
    <x v="1"/>
    <n v="19161"/>
    <n v="13738"/>
    <n v="3"/>
    <s v="Y"/>
    <s v="No"/>
    <n v="15"/>
    <n v="3"/>
    <n v="4"/>
    <n v="80"/>
    <n v="0"/>
    <n v="28"/>
    <n v="3"/>
    <n v="3"/>
    <n v="5"/>
    <n v="4"/>
    <n v="4"/>
    <n v="3"/>
  </r>
  <r>
    <n v="42"/>
    <x v="0"/>
    <x v="1"/>
    <s v="Travel_Rarely"/>
    <n v="419"/>
    <x v="0"/>
    <n v="12"/>
    <n v="4"/>
    <x v="3"/>
    <n v="1"/>
    <n v="1943"/>
    <n v="2"/>
    <x v="1"/>
    <n v="77"/>
    <n v="3"/>
    <n v="2"/>
    <x v="0"/>
    <n v="4"/>
    <x v="2"/>
    <n v="5087"/>
    <n v="2900"/>
    <n v="3"/>
    <s v="Y"/>
    <s v="Yes"/>
    <n v="12"/>
    <n v="3"/>
    <n v="3"/>
    <n v="80"/>
    <n v="2"/>
    <n v="14"/>
    <n v="4"/>
    <n v="3"/>
    <n v="0"/>
    <n v="0"/>
    <n v="0"/>
    <n v="0"/>
  </r>
  <r>
    <n v="27"/>
    <x v="2"/>
    <x v="0"/>
    <s v="Travel_Frequently"/>
    <n v="1337"/>
    <x v="2"/>
    <n v="22"/>
    <n v="3"/>
    <x v="5"/>
    <n v="1"/>
    <n v="1944"/>
    <n v="1"/>
    <x v="0"/>
    <n v="58"/>
    <n v="2"/>
    <n v="1"/>
    <x v="8"/>
    <n v="2"/>
    <x v="1"/>
    <n v="2863"/>
    <n v="19555"/>
    <n v="1"/>
    <s v="Y"/>
    <s v="No"/>
    <n v="12"/>
    <n v="3"/>
    <n v="1"/>
    <n v="80"/>
    <n v="0"/>
    <n v="1"/>
    <n v="2"/>
    <n v="3"/>
    <n v="1"/>
    <n v="0"/>
    <n v="0"/>
    <n v="0"/>
  </r>
  <r>
    <n v="35"/>
    <x v="2"/>
    <x v="1"/>
    <s v="Travel_Rarely"/>
    <n v="682"/>
    <x v="0"/>
    <n v="18"/>
    <n v="4"/>
    <x v="2"/>
    <n v="1"/>
    <n v="1945"/>
    <n v="2"/>
    <x v="1"/>
    <n v="71"/>
    <n v="3"/>
    <n v="2"/>
    <x v="0"/>
    <n v="1"/>
    <x v="1"/>
    <n v="5561"/>
    <n v="15975"/>
    <n v="0"/>
    <s v="Y"/>
    <s v="No"/>
    <n v="16"/>
    <n v="3"/>
    <n v="4"/>
    <n v="80"/>
    <n v="1"/>
    <n v="6"/>
    <n v="2"/>
    <n v="1"/>
    <n v="5"/>
    <n v="3"/>
    <n v="0"/>
    <n v="4"/>
  </r>
  <r>
    <n v="28"/>
    <x v="2"/>
    <x v="1"/>
    <s v="Non-Travel"/>
    <n v="1103"/>
    <x v="1"/>
    <n v="16"/>
    <n v="3"/>
    <x v="2"/>
    <n v="1"/>
    <n v="1947"/>
    <n v="3"/>
    <x v="1"/>
    <n v="49"/>
    <n v="3"/>
    <n v="1"/>
    <x v="1"/>
    <n v="3"/>
    <x v="0"/>
    <n v="2144"/>
    <n v="2122"/>
    <n v="1"/>
    <s v="Y"/>
    <s v="No"/>
    <n v="14"/>
    <n v="3"/>
    <n v="3"/>
    <n v="80"/>
    <n v="0"/>
    <n v="5"/>
    <n v="3"/>
    <n v="2"/>
    <n v="5"/>
    <n v="3"/>
    <n v="1"/>
    <n v="4"/>
  </r>
  <r>
    <n v="31"/>
    <x v="2"/>
    <x v="1"/>
    <s v="Non-Travel"/>
    <n v="976"/>
    <x v="1"/>
    <n v="3"/>
    <n v="2"/>
    <x v="2"/>
    <n v="1"/>
    <n v="1948"/>
    <n v="3"/>
    <x v="1"/>
    <n v="48"/>
    <n v="3"/>
    <n v="1"/>
    <x v="1"/>
    <n v="1"/>
    <x v="2"/>
    <n v="3065"/>
    <n v="3995"/>
    <n v="1"/>
    <s v="Y"/>
    <s v="Yes"/>
    <n v="13"/>
    <n v="3"/>
    <n v="4"/>
    <n v="80"/>
    <n v="1"/>
    <n v="4"/>
    <n v="3"/>
    <n v="4"/>
    <n v="4"/>
    <n v="2"/>
    <n v="2"/>
    <n v="3"/>
  </r>
  <r>
    <n v="36"/>
    <x v="0"/>
    <x v="1"/>
    <s v="Non-Travel"/>
    <n v="1351"/>
    <x v="1"/>
    <n v="9"/>
    <n v="4"/>
    <x v="0"/>
    <n v="1"/>
    <n v="1949"/>
    <n v="1"/>
    <x v="1"/>
    <n v="66"/>
    <n v="4"/>
    <n v="1"/>
    <x v="2"/>
    <n v="2"/>
    <x v="1"/>
    <n v="2810"/>
    <n v="9238"/>
    <n v="1"/>
    <s v="Y"/>
    <s v="No"/>
    <n v="22"/>
    <n v="4"/>
    <n v="2"/>
    <n v="80"/>
    <n v="0"/>
    <n v="5"/>
    <n v="3"/>
    <n v="3"/>
    <n v="5"/>
    <n v="4"/>
    <n v="0"/>
    <n v="2"/>
  </r>
  <r>
    <n v="34"/>
    <x v="2"/>
    <x v="1"/>
    <s v="Travel_Rarely"/>
    <n v="937"/>
    <x v="0"/>
    <n v="1"/>
    <n v="3"/>
    <x v="3"/>
    <n v="1"/>
    <n v="1950"/>
    <n v="1"/>
    <x v="1"/>
    <n v="32"/>
    <n v="3"/>
    <n v="3"/>
    <x v="0"/>
    <n v="4"/>
    <x v="0"/>
    <n v="9888"/>
    <n v="6770"/>
    <n v="1"/>
    <s v="Y"/>
    <s v="No"/>
    <n v="21"/>
    <n v="4"/>
    <n v="1"/>
    <n v="80"/>
    <n v="0"/>
    <n v="14"/>
    <n v="3"/>
    <n v="2"/>
    <n v="14"/>
    <n v="8"/>
    <n v="2"/>
    <n v="1"/>
  </r>
  <r>
    <n v="34"/>
    <x v="2"/>
    <x v="1"/>
    <s v="Travel_Rarely"/>
    <n v="1239"/>
    <x v="0"/>
    <n v="13"/>
    <n v="4"/>
    <x v="2"/>
    <n v="1"/>
    <n v="1951"/>
    <n v="4"/>
    <x v="1"/>
    <n v="39"/>
    <n v="3"/>
    <n v="3"/>
    <x v="0"/>
    <n v="3"/>
    <x v="2"/>
    <n v="8628"/>
    <n v="22914"/>
    <n v="1"/>
    <s v="Y"/>
    <s v="No"/>
    <n v="18"/>
    <n v="3"/>
    <n v="3"/>
    <n v="80"/>
    <n v="1"/>
    <n v="9"/>
    <n v="2"/>
    <n v="2"/>
    <n v="8"/>
    <n v="7"/>
    <n v="1"/>
    <n v="1"/>
  </r>
  <r>
    <n v="26"/>
    <x v="2"/>
    <x v="1"/>
    <s v="Travel_Rarely"/>
    <n v="157"/>
    <x v="1"/>
    <n v="1"/>
    <n v="3"/>
    <x v="2"/>
    <n v="1"/>
    <n v="1952"/>
    <n v="3"/>
    <x v="1"/>
    <n v="95"/>
    <n v="3"/>
    <n v="1"/>
    <x v="2"/>
    <n v="1"/>
    <x v="0"/>
    <n v="2867"/>
    <n v="20006"/>
    <n v="0"/>
    <s v="Y"/>
    <s v="No"/>
    <n v="13"/>
    <n v="3"/>
    <n v="4"/>
    <n v="80"/>
    <n v="0"/>
    <n v="8"/>
    <n v="6"/>
    <n v="2"/>
    <n v="7"/>
    <n v="7"/>
    <n v="7"/>
    <n v="6"/>
  </r>
  <r>
    <n v="29"/>
    <x v="2"/>
    <x v="1"/>
    <s v="Travel_Rarely"/>
    <n v="136"/>
    <x v="1"/>
    <n v="1"/>
    <n v="3"/>
    <x v="0"/>
    <n v="1"/>
    <n v="1954"/>
    <n v="1"/>
    <x v="1"/>
    <n v="89"/>
    <n v="3"/>
    <n v="2"/>
    <x v="4"/>
    <n v="1"/>
    <x v="1"/>
    <n v="5373"/>
    <n v="6225"/>
    <n v="0"/>
    <s v="Y"/>
    <s v="No"/>
    <n v="12"/>
    <n v="3"/>
    <n v="1"/>
    <n v="80"/>
    <n v="1"/>
    <n v="6"/>
    <n v="5"/>
    <n v="2"/>
    <n v="5"/>
    <n v="3"/>
    <n v="0"/>
    <n v="2"/>
  </r>
  <r>
    <n v="32"/>
    <x v="2"/>
    <x v="1"/>
    <s v="Non-Travel"/>
    <n v="1146"/>
    <x v="1"/>
    <n v="15"/>
    <n v="4"/>
    <x v="2"/>
    <n v="1"/>
    <n v="1955"/>
    <n v="3"/>
    <x v="0"/>
    <n v="34"/>
    <n v="3"/>
    <n v="2"/>
    <x v="4"/>
    <n v="4"/>
    <x v="2"/>
    <n v="6667"/>
    <n v="16542"/>
    <n v="5"/>
    <s v="Y"/>
    <s v="No"/>
    <n v="18"/>
    <n v="3"/>
    <n v="2"/>
    <n v="80"/>
    <n v="1"/>
    <n v="9"/>
    <n v="6"/>
    <n v="3"/>
    <n v="5"/>
    <n v="1"/>
    <n v="1"/>
    <n v="2"/>
  </r>
  <r>
    <n v="31"/>
    <x v="2"/>
    <x v="1"/>
    <s v="Travel_Frequently"/>
    <n v="1125"/>
    <x v="1"/>
    <n v="1"/>
    <n v="3"/>
    <x v="0"/>
    <n v="1"/>
    <n v="1956"/>
    <n v="4"/>
    <x v="1"/>
    <n v="48"/>
    <n v="1"/>
    <n v="2"/>
    <x v="1"/>
    <n v="1"/>
    <x v="1"/>
    <n v="5003"/>
    <n v="5771"/>
    <n v="1"/>
    <s v="Y"/>
    <s v="No"/>
    <n v="21"/>
    <n v="4"/>
    <n v="2"/>
    <n v="80"/>
    <n v="0"/>
    <n v="10"/>
    <n v="6"/>
    <n v="3"/>
    <n v="10"/>
    <n v="8"/>
    <n v="8"/>
    <n v="7"/>
  </r>
  <r>
    <n v="28"/>
    <x v="2"/>
    <x v="0"/>
    <s v="Travel_Rarely"/>
    <n v="1404"/>
    <x v="1"/>
    <n v="17"/>
    <n v="3"/>
    <x v="4"/>
    <n v="1"/>
    <n v="1960"/>
    <n v="3"/>
    <x v="1"/>
    <n v="32"/>
    <n v="2"/>
    <n v="1"/>
    <x v="2"/>
    <n v="4"/>
    <x v="2"/>
    <n v="2367"/>
    <n v="18779"/>
    <n v="5"/>
    <s v="Y"/>
    <s v="No"/>
    <n v="12"/>
    <n v="3"/>
    <n v="1"/>
    <n v="80"/>
    <n v="1"/>
    <n v="6"/>
    <n v="2"/>
    <n v="2"/>
    <n v="4"/>
    <n v="1"/>
    <n v="0"/>
    <n v="3"/>
  </r>
  <r>
    <n v="38"/>
    <x v="0"/>
    <x v="1"/>
    <s v="Travel_Rarely"/>
    <n v="1404"/>
    <x v="0"/>
    <n v="1"/>
    <n v="3"/>
    <x v="0"/>
    <n v="1"/>
    <n v="1961"/>
    <n v="1"/>
    <x v="1"/>
    <n v="59"/>
    <n v="2"/>
    <n v="1"/>
    <x v="6"/>
    <n v="1"/>
    <x v="0"/>
    <n v="2858"/>
    <n v="11473"/>
    <n v="4"/>
    <s v="Y"/>
    <s v="No"/>
    <n v="14"/>
    <n v="3"/>
    <n v="1"/>
    <n v="80"/>
    <n v="0"/>
    <n v="20"/>
    <n v="3"/>
    <n v="2"/>
    <n v="1"/>
    <n v="0"/>
    <n v="0"/>
    <n v="0"/>
  </r>
  <r>
    <n v="35"/>
    <x v="2"/>
    <x v="1"/>
    <s v="Travel_Rarely"/>
    <n v="1224"/>
    <x v="0"/>
    <n v="7"/>
    <n v="4"/>
    <x v="0"/>
    <n v="1"/>
    <n v="1962"/>
    <n v="3"/>
    <x v="0"/>
    <n v="55"/>
    <n v="3"/>
    <n v="2"/>
    <x v="0"/>
    <n v="4"/>
    <x v="1"/>
    <n v="5204"/>
    <n v="13586"/>
    <n v="1"/>
    <s v="Y"/>
    <s v="Yes"/>
    <n v="11"/>
    <n v="3"/>
    <n v="4"/>
    <n v="80"/>
    <n v="0"/>
    <n v="10"/>
    <n v="2"/>
    <n v="3"/>
    <n v="10"/>
    <n v="8"/>
    <n v="0"/>
    <n v="9"/>
  </r>
  <r>
    <n v="27"/>
    <x v="2"/>
    <x v="1"/>
    <s v="Travel_Rarely"/>
    <n v="954"/>
    <x v="0"/>
    <n v="9"/>
    <n v="3"/>
    <x v="3"/>
    <n v="1"/>
    <n v="1965"/>
    <n v="4"/>
    <x v="1"/>
    <n v="44"/>
    <n v="3"/>
    <n v="2"/>
    <x v="0"/>
    <n v="4"/>
    <x v="0"/>
    <n v="4105"/>
    <n v="5099"/>
    <n v="1"/>
    <s v="Y"/>
    <s v="No"/>
    <n v="14"/>
    <n v="3"/>
    <n v="1"/>
    <n v="80"/>
    <n v="0"/>
    <n v="7"/>
    <n v="5"/>
    <n v="3"/>
    <n v="7"/>
    <n v="7"/>
    <n v="0"/>
    <n v="7"/>
  </r>
  <r>
    <n v="32"/>
    <x v="2"/>
    <x v="1"/>
    <s v="Travel_Rarely"/>
    <n v="1373"/>
    <x v="1"/>
    <n v="5"/>
    <n v="4"/>
    <x v="0"/>
    <n v="1"/>
    <n v="1966"/>
    <n v="4"/>
    <x v="1"/>
    <n v="56"/>
    <n v="2"/>
    <n v="2"/>
    <x v="3"/>
    <n v="4"/>
    <x v="0"/>
    <n v="9679"/>
    <n v="10138"/>
    <n v="8"/>
    <s v="Y"/>
    <s v="No"/>
    <n v="24"/>
    <n v="4"/>
    <n v="2"/>
    <n v="80"/>
    <n v="0"/>
    <n v="8"/>
    <n v="1"/>
    <n v="3"/>
    <n v="1"/>
    <n v="0"/>
    <n v="0"/>
    <n v="0"/>
  </r>
  <r>
    <n v="31"/>
    <x v="2"/>
    <x v="0"/>
    <s v="Travel_Frequently"/>
    <n v="754"/>
    <x v="0"/>
    <n v="26"/>
    <n v="4"/>
    <x v="3"/>
    <n v="1"/>
    <n v="1967"/>
    <n v="1"/>
    <x v="1"/>
    <n v="63"/>
    <n v="3"/>
    <n v="2"/>
    <x v="0"/>
    <n v="4"/>
    <x v="1"/>
    <n v="5617"/>
    <n v="21075"/>
    <n v="1"/>
    <s v="Y"/>
    <s v="Yes"/>
    <n v="11"/>
    <n v="3"/>
    <n v="3"/>
    <n v="80"/>
    <n v="0"/>
    <n v="10"/>
    <n v="4"/>
    <n v="3"/>
    <n v="10"/>
    <n v="7"/>
    <n v="0"/>
    <n v="8"/>
  </r>
  <r>
    <n v="53"/>
    <x v="1"/>
    <x v="0"/>
    <s v="Travel_Rarely"/>
    <n v="1168"/>
    <x v="0"/>
    <n v="24"/>
    <n v="4"/>
    <x v="0"/>
    <n v="1"/>
    <n v="1968"/>
    <n v="1"/>
    <x v="1"/>
    <n v="66"/>
    <n v="3"/>
    <n v="3"/>
    <x v="0"/>
    <n v="1"/>
    <x v="0"/>
    <n v="10448"/>
    <n v="5843"/>
    <n v="6"/>
    <s v="Y"/>
    <s v="Yes"/>
    <n v="13"/>
    <n v="3"/>
    <n v="2"/>
    <n v="80"/>
    <n v="0"/>
    <n v="15"/>
    <n v="2"/>
    <n v="2"/>
    <n v="2"/>
    <n v="2"/>
    <n v="2"/>
    <n v="2"/>
  </r>
  <r>
    <n v="54"/>
    <x v="1"/>
    <x v="1"/>
    <s v="Travel_Rarely"/>
    <n v="155"/>
    <x v="1"/>
    <n v="9"/>
    <n v="2"/>
    <x v="0"/>
    <n v="1"/>
    <n v="1969"/>
    <n v="1"/>
    <x v="0"/>
    <n v="67"/>
    <n v="3"/>
    <n v="2"/>
    <x v="1"/>
    <n v="3"/>
    <x v="1"/>
    <n v="2897"/>
    <n v="22474"/>
    <n v="3"/>
    <s v="Y"/>
    <s v="No"/>
    <n v="11"/>
    <n v="3"/>
    <n v="3"/>
    <n v="80"/>
    <n v="2"/>
    <n v="9"/>
    <n v="6"/>
    <n v="2"/>
    <n v="4"/>
    <n v="3"/>
    <n v="2"/>
    <n v="3"/>
  </r>
  <r>
    <n v="33"/>
    <x v="2"/>
    <x v="1"/>
    <s v="Travel_Frequently"/>
    <n v="1303"/>
    <x v="1"/>
    <n v="7"/>
    <n v="2"/>
    <x v="0"/>
    <n v="1"/>
    <n v="1970"/>
    <n v="4"/>
    <x v="1"/>
    <n v="36"/>
    <n v="3"/>
    <n v="2"/>
    <x v="4"/>
    <n v="3"/>
    <x v="2"/>
    <n v="5968"/>
    <n v="18079"/>
    <n v="1"/>
    <s v="Y"/>
    <s v="No"/>
    <n v="20"/>
    <n v="4"/>
    <n v="3"/>
    <n v="80"/>
    <n v="3"/>
    <n v="9"/>
    <n v="2"/>
    <n v="3"/>
    <n v="9"/>
    <n v="7"/>
    <n v="2"/>
    <n v="8"/>
  </r>
  <r>
    <n v="43"/>
    <x v="0"/>
    <x v="1"/>
    <s v="Travel_Rarely"/>
    <n v="574"/>
    <x v="1"/>
    <n v="11"/>
    <n v="3"/>
    <x v="0"/>
    <n v="1"/>
    <n v="1971"/>
    <n v="1"/>
    <x v="1"/>
    <n v="30"/>
    <n v="3"/>
    <n v="3"/>
    <x v="4"/>
    <n v="3"/>
    <x v="1"/>
    <n v="7510"/>
    <n v="16873"/>
    <n v="1"/>
    <s v="Y"/>
    <s v="No"/>
    <n v="17"/>
    <n v="3"/>
    <n v="2"/>
    <n v="80"/>
    <n v="1"/>
    <n v="10"/>
    <n v="1"/>
    <n v="3"/>
    <n v="10"/>
    <n v="9"/>
    <n v="0"/>
    <n v="9"/>
  </r>
  <r>
    <n v="38"/>
    <x v="0"/>
    <x v="1"/>
    <s v="Travel_Frequently"/>
    <n v="1444"/>
    <x v="2"/>
    <n v="1"/>
    <n v="4"/>
    <x v="1"/>
    <n v="1"/>
    <n v="1972"/>
    <n v="4"/>
    <x v="1"/>
    <n v="88"/>
    <n v="3"/>
    <n v="1"/>
    <x v="8"/>
    <n v="2"/>
    <x v="1"/>
    <n v="2991"/>
    <n v="5224"/>
    <n v="0"/>
    <s v="Y"/>
    <s v="Yes"/>
    <n v="11"/>
    <n v="3"/>
    <n v="2"/>
    <n v="80"/>
    <n v="1"/>
    <n v="7"/>
    <n v="2"/>
    <n v="3"/>
    <n v="6"/>
    <n v="2"/>
    <n v="1"/>
    <n v="2"/>
  </r>
  <r>
    <n v="55"/>
    <x v="1"/>
    <x v="1"/>
    <s v="Travel_Rarely"/>
    <n v="189"/>
    <x v="2"/>
    <n v="26"/>
    <n v="4"/>
    <x v="5"/>
    <n v="1"/>
    <n v="1973"/>
    <n v="3"/>
    <x v="1"/>
    <n v="71"/>
    <n v="4"/>
    <n v="5"/>
    <x v="5"/>
    <n v="2"/>
    <x v="1"/>
    <n v="19636"/>
    <n v="25811"/>
    <n v="4"/>
    <s v="Y"/>
    <s v="Yes"/>
    <n v="18"/>
    <n v="3"/>
    <n v="1"/>
    <n v="80"/>
    <n v="1"/>
    <n v="35"/>
    <n v="0"/>
    <n v="3"/>
    <n v="10"/>
    <n v="9"/>
    <n v="1"/>
    <n v="4"/>
  </r>
  <r>
    <n v="31"/>
    <x v="2"/>
    <x v="1"/>
    <s v="Travel_Rarely"/>
    <n v="1276"/>
    <x v="1"/>
    <n v="2"/>
    <n v="1"/>
    <x v="2"/>
    <n v="1"/>
    <n v="1974"/>
    <n v="4"/>
    <x v="0"/>
    <n v="59"/>
    <n v="1"/>
    <n v="1"/>
    <x v="2"/>
    <n v="4"/>
    <x v="2"/>
    <n v="1129"/>
    <n v="17536"/>
    <n v="1"/>
    <s v="Y"/>
    <s v="Yes"/>
    <n v="11"/>
    <n v="3"/>
    <n v="3"/>
    <n v="80"/>
    <n v="3"/>
    <n v="1"/>
    <n v="4"/>
    <n v="3"/>
    <n v="1"/>
    <n v="0"/>
    <n v="0"/>
    <n v="0"/>
  </r>
  <r>
    <n v="39"/>
    <x v="0"/>
    <x v="1"/>
    <s v="Travel_Rarely"/>
    <n v="119"/>
    <x v="0"/>
    <n v="15"/>
    <n v="4"/>
    <x v="3"/>
    <n v="1"/>
    <n v="1975"/>
    <n v="2"/>
    <x v="1"/>
    <n v="77"/>
    <n v="3"/>
    <n v="4"/>
    <x v="0"/>
    <n v="1"/>
    <x v="0"/>
    <n v="13341"/>
    <n v="25098"/>
    <n v="0"/>
    <s v="Y"/>
    <s v="No"/>
    <n v="12"/>
    <n v="3"/>
    <n v="1"/>
    <n v="80"/>
    <n v="0"/>
    <n v="21"/>
    <n v="3"/>
    <n v="3"/>
    <n v="20"/>
    <n v="8"/>
    <n v="11"/>
    <n v="10"/>
  </r>
  <r>
    <n v="42"/>
    <x v="0"/>
    <x v="1"/>
    <s v="Non-Travel"/>
    <n v="335"/>
    <x v="1"/>
    <n v="23"/>
    <n v="2"/>
    <x v="0"/>
    <n v="1"/>
    <n v="1976"/>
    <n v="4"/>
    <x v="1"/>
    <n v="37"/>
    <n v="2"/>
    <n v="2"/>
    <x v="1"/>
    <n v="3"/>
    <x v="0"/>
    <n v="4332"/>
    <n v="14811"/>
    <n v="1"/>
    <s v="Y"/>
    <s v="No"/>
    <n v="12"/>
    <n v="3"/>
    <n v="4"/>
    <n v="80"/>
    <n v="0"/>
    <n v="20"/>
    <n v="2"/>
    <n v="3"/>
    <n v="20"/>
    <n v="9"/>
    <n v="3"/>
    <n v="7"/>
  </r>
  <r>
    <n v="31"/>
    <x v="2"/>
    <x v="1"/>
    <s v="Non-Travel"/>
    <n v="697"/>
    <x v="1"/>
    <n v="10"/>
    <n v="3"/>
    <x v="2"/>
    <n v="1"/>
    <n v="1979"/>
    <n v="3"/>
    <x v="0"/>
    <n v="40"/>
    <n v="3"/>
    <n v="3"/>
    <x v="7"/>
    <n v="3"/>
    <x v="1"/>
    <n v="11031"/>
    <n v="26862"/>
    <n v="4"/>
    <s v="Y"/>
    <s v="No"/>
    <n v="20"/>
    <n v="4"/>
    <n v="3"/>
    <n v="80"/>
    <n v="1"/>
    <n v="13"/>
    <n v="2"/>
    <n v="4"/>
    <n v="11"/>
    <n v="7"/>
    <n v="4"/>
    <n v="8"/>
  </r>
  <r>
    <n v="54"/>
    <x v="1"/>
    <x v="1"/>
    <s v="Travel_Rarely"/>
    <n v="157"/>
    <x v="1"/>
    <n v="10"/>
    <n v="3"/>
    <x v="2"/>
    <n v="1"/>
    <n v="1980"/>
    <n v="3"/>
    <x v="0"/>
    <n v="77"/>
    <n v="3"/>
    <n v="2"/>
    <x v="3"/>
    <n v="1"/>
    <x v="0"/>
    <n v="4440"/>
    <n v="25198"/>
    <n v="6"/>
    <s v="Y"/>
    <s v="Yes"/>
    <n v="19"/>
    <n v="3"/>
    <n v="4"/>
    <n v="80"/>
    <n v="0"/>
    <n v="9"/>
    <n v="3"/>
    <n v="3"/>
    <n v="5"/>
    <n v="2"/>
    <n v="1"/>
    <n v="4"/>
  </r>
  <r>
    <n v="24"/>
    <x v="3"/>
    <x v="1"/>
    <s v="Travel_Rarely"/>
    <n v="771"/>
    <x v="1"/>
    <n v="1"/>
    <n v="2"/>
    <x v="0"/>
    <n v="1"/>
    <n v="1981"/>
    <n v="2"/>
    <x v="1"/>
    <n v="45"/>
    <n v="2"/>
    <n v="2"/>
    <x v="4"/>
    <n v="3"/>
    <x v="0"/>
    <n v="4617"/>
    <n v="14120"/>
    <n v="1"/>
    <s v="Y"/>
    <s v="No"/>
    <n v="12"/>
    <n v="3"/>
    <n v="2"/>
    <n v="80"/>
    <n v="0"/>
    <n v="4"/>
    <n v="2"/>
    <n v="2"/>
    <n v="4"/>
    <n v="3"/>
    <n v="1"/>
    <n v="2"/>
  </r>
  <r>
    <n v="23"/>
    <x v="3"/>
    <x v="1"/>
    <s v="Travel_Rarely"/>
    <n v="571"/>
    <x v="1"/>
    <n v="12"/>
    <n v="2"/>
    <x v="1"/>
    <n v="1"/>
    <n v="1982"/>
    <n v="4"/>
    <x v="1"/>
    <n v="78"/>
    <n v="3"/>
    <n v="1"/>
    <x v="2"/>
    <n v="4"/>
    <x v="0"/>
    <n v="2647"/>
    <n v="13672"/>
    <n v="1"/>
    <s v="Y"/>
    <s v="No"/>
    <n v="13"/>
    <n v="3"/>
    <n v="3"/>
    <n v="80"/>
    <n v="0"/>
    <n v="5"/>
    <n v="6"/>
    <n v="4"/>
    <n v="5"/>
    <n v="2"/>
    <n v="1"/>
    <n v="4"/>
  </r>
  <r>
    <n v="40"/>
    <x v="0"/>
    <x v="1"/>
    <s v="Travel_Frequently"/>
    <n v="692"/>
    <x v="1"/>
    <n v="11"/>
    <n v="3"/>
    <x v="4"/>
    <n v="1"/>
    <n v="1985"/>
    <n v="4"/>
    <x v="0"/>
    <n v="73"/>
    <n v="3"/>
    <n v="2"/>
    <x v="2"/>
    <n v="3"/>
    <x v="1"/>
    <n v="6323"/>
    <n v="26849"/>
    <n v="1"/>
    <s v="Y"/>
    <s v="No"/>
    <n v="11"/>
    <n v="3"/>
    <n v="1"/>
    <n v="80"/>
    <n v="1"/>
    <n v="10"/>
    <n v="2"/>
    <n v="4"/>
    <n v="10"/>
    <n v="9"/>
    <n v="9"/>
    <n v="4"/>
  </r>
  <r>
    <n v="40"/>
    <x v="0"/>
    <x v="1"/>
    <s v="Travel_Rarely"/>
    <n v="444"/>
    <x v="0"/>
    <n v="2"/>
    <n v="2"/>
    <x v="3"/>
    <n v="1"/>
    <n v="1986"/>
    <n v="2"/>
    <x v="0"/>
    <n v="92"/>
    <n v="3"/>
    <n v="2"/>
    <x v="0"/>
    <n v="2"/>
    <x v="1"/>
    <n v="5677"/>
    <n v="4258"/>
    <n v="3"/>
    <s v="Y"/>
    <s v="No"/>
    <n v="14"/>
    <n v="3"/>
    <n v="3"/>
    <n v="80"/>
    <n v="1"/>
    <n v="15"/>
    <n v="4"/>
    <n v="3"/>
    <n v="11"/>
    <n v="8"/>
    <n v="5"/>
    <n v="10"/>
  </r>
  <r>
    <n v="25"/>
    <x v="3"/>
    <x v="1"/>
    <s v="Travel_Rarely"/>
    <n v="309"/>
    <x v="2"/>
    <n v="2"/>
    <n v="3"/>
    <x v="5"/>
    <n v="1"/>
    <n v="1987"/>
    <n v="3"/>
    <x v="0"/>
    <n v="82"/>
    <n v="3"/>
    <n v="1"/>
    <x v="8"/>
    <n v="2"/>
    <x v="1"/>
    <n v="2187"/>
    <n v="19655"/>
    <n v="4"/>
    <s v="Y"/>
    <s v="No"/>
    <n v="14"/>
    <n v="3"/>
    <n v="3"/>
    <n v="80"/>
    <n v="0"/>
    <n v="6"/>
    <n v="3"/>
    <n v="3"/>
    <n v="2"/>
    <n v="0"/>
    <n v="1"/>
    <n v="2"/>
  </r>
  <r>
    <n v="30"/>
    <x v="2"/>
    <x v="1"/>
    <s v="Travel_Rarely"/>
    <n v="911"/>
    <x v="1"/>
    <n v="1"/>
    <n v="2"/>
    <x v="2"/>
    <n v="1"/>
    <n v="1989"/>
    <n v="4"/>
    <x v="1"/>
    <n v="76"/>
    <n v="3"/>
    <n v="1"/>
    <x v="2"/>
    <n v="2"/>
    <x v="1"/>
    <n v="3748"/>
    <n v="4077"/>
    <n v="1"/>
    <s v="Y"/>
    <s v="No"/>
    <n v="13"/>
    <n v="3"/>
    <n v="3"/>
    <n v="80"/>
    <n v="0"/>
    <n v="12"/>
    <n v="6"/>
    <n v="2"/>
    <n v="12"/>
    <n v="8"/>
    <n v="1"/>
    <n v="7"/>
  </r>
  <r>
    <n v="25"/>
    <x v="3"/>
    <x v="1"/>
    <s v="Travel_Rarely"/>
    <n v="977"/>
    <x v="1"/>
    <n v="2"/>
    <n v="1"/>
    <x v="1"/>
    <n v="1"/>
    <n v="1992"/>
    <n v="4"/>
    <x v="1"/>
    <n v="57"/>
    <n v="3"/>
    <n v="1"/>
    <x v="2"/>
    <n v="3"/>
    <x v="2"/>
    <n v="3977"/>
    <n v="7298"/>
    <n v="6"/>
    <s v="Y"/>
    <s v="Yes"/>
    <n v="19"/>
    <n v="3"/>
    <n v="3"/>
    <n v="80"/>
    <n v="1"/>
    <n v="7"/>
    <n v="2"/>
    <n v="2"/>
    <n v="2"/>
    <n v="2"/>
    <n v="0"/>
    <n v="2"/>
  </r>
  <r>
    <n v="47"/>
    <x v="1"/>
    <x v="1"/>
    <s v="Travel_Rarely"/>
    <n v="1180"/>
    <x v="1"/>
    <n v="25"/>
    <n v="3"/>
    <x v="2"/>
    <n v="1"/>
    <n v="1993"/>
    <n v="1"/>
    <x v="1"/>
    <n v="84"/>
    <n v="3"/>
    <n v="3"/>
    <x v="4"/>
    <n v="3"/>
    <x v="0"/>
    <n v="8633"/>
    <n v="13084"/>
    <n v="2"/>
    <s v="Y"/>
    <s v="No"/>
    <n v="23"/>
    <n v="4"/>
    <n v="2"/>
    <n v="80"/>
    <n v="0"/>
    <n v="25"/>
    <n v="3"/>
    <n v="3"/>
    <n v="17"/>
    <n v="14"/>
    <n v="12"/>
    <n v="11"/>
  </r>
  <r>
    <n v="33"/>
    <x v="2"/>
    <x v="1"/>
    <s v="Non-Travel"/>
    <n v="1313"/>
    <x v="1"/>
    <n v="1"/>
    <n v="2"/>
    <x v="2"/>
    <n v="1"/>
    <n v="1994"/>
    <n v="2"/>
    <x v="1"/>
    <n v="59"/>
    <n v="2"/>
    <n v="1"/>
    <x v="2"/>
    <n v="3"/>
    <x v="2"/>
    <n v="2008"/>
    <n v="20439"/>
    <n v="1"/>
    <s v="Y"/>
    <s v="No"/>
    <n v="12"/>
    <n v="3"/>
    <n v="3"/>
    <n v="80"/>
    <n v="3"/>
    <n v="1"/>
    <n v="2"/>
    <n v="2"/>
    <n v="1"/>
    <n v="1"/>
    <n v="0"/>
    <n v="0"/>
  </r>
  <r>
    <n v="38"/>
    <x v="0"/>
    <x v="1"/>
    <s v="Travel_Rarely"/>
    <n v="1321"/>
    <x v="0"/>
    <n v="1"/>
    <n v="4"/>
    <x v="0"/>
    <n v="1"/>
    <n v="1995"/>
    <n v="4"/>
    <x v="1"/>
    <n v="86"/>
    <n v="3"/>
    <n v="2"/>
    <x v="0"/>
    <n v="2"/>
    <x v="1"/>
    <n v="4440"/>
    <n v="7636"/>
    <n v="0"/>
    <s v="Y"/>
    <s v="No"/>
    <n v="15"/>
    <n v="3"/>
    <n v="1"/>
    <n v="80"/>
    <n v="2"/>
    <n v="16"/>
    <n v="3"/>
    <n v="3"/>
    <n v="15"/>
    <n v="13"/>
    <n v="5"/>
    <n v="8"/>
  </r>
  <r>
    <n v="31"/>
    <x v="2"/>
    <x v="1"/>
    <s v="Travel_Rarely"/>
    <n v="1154"/>
    <x v="0"/>
    <n v="2"/>
    <n v="2"/>
    <x v="0"/>
    <n v="1"/>
    <n v="1996"/>
    <n v="1"/>
    <x v="1"/>
    <n v="54"/>
    <n v="3"/>
    <n v="1"/>
    <x v="6"/>
    <n v="3"/>
    <x v="1"/>
    <n v="3067"/>
    <n v="6393"/>
    <n v="0"/>
    <s v="Y"/>
    <s v="No"/>
    <n v="19"/>
    <n v="3"/>
    <n v="3"/>
    <n v="80"/>
    <n v="1"/>
    <n v="3"/>
    <n v="1"/>
    <n v="3"/>
    <n v="2"/>
    <n v="2"/>
    <n v="1"/>
    <n v="2"/>
  </r>
  <r>
    <n v="38"/>
    <x v="0"/>
    <x v="1"/>
    <s v="Travel_Frequently"/>
    <n v="508"/>
    <x v="1"/>
    <n v="6"/>
    <n v="4"/>
    <x v="0"/>
    <n v="1"/>
    <n v="1997"/>
    <n v="1"/>
    <x v="1"/>
    <n v="72"/>
    <n v="2"/>
    <n v="2"/>
    <x v="3"/>
    <n v="3"/>
    <x v="1"/>
    <n v="5321"/>
    <n v="14284"/>
    <n v="2"/>
    <s v="Y"/>
    <s v="No"/>
    <n v="11"/>
    <n v="3"/>
    <n v="4"/>
    <n v="80"/>
    <n v="1"/>
    <n v="10"/>
    <n v="1"/>
    <n v="3"/>
    <n v="8"/>
    <n v="3"/>
    <n v="7"/>
    <n v="7"/>
  </r>
  <r>
    <n v="42"/>
    <x v="0"/>
    <x v="1"/>
    <s v="Travel_Rarely"/>
    <n v="557"/>
    <x v="1"/>
    <n v="18"/>
    <n v="4"/>
    <x v="0"/>
    <n v="1"/>
    <n v="1998"/>
    <n v="4"/>
    <x v="1"/>
    <n v="35"/>
    <n v="3"/>
    <n v="2"/>
    <x v="1"/>
    <n v="1"/>
    <x v="2"/>
    <n v="5410"/>
    <n v="11189"/>
    <n v="6"/>
    <s v="Y"/>
    <s v="Yes"/>
    <n v="17"/>
    <n v="3"/>
    <n v="3"/>
    <n v="80"/>
    <n v="1"/>
    <n v="9"/>
    <n v="3"/>
    <n v="2"/>
    <n v="4"/>
    <n v="3"/>
    <n v="1"/>
    <n v="2"/>
  </r>
  <r>
    <n v="41"/>
    <x v="0"/>
    <x v="1"/>
    <s v="Travel_Rarely"/>
    <n v="642"/>
    <x v="1"/>
    <n v="1"/>
    <n v="3"/>
    <x v="0"/>
    <n v="1"/>
    <n v="1999"/>
    <n v="4"/>
    <x v="1"/>
    <n v="76"/>
    <n v="3"/>
    <n v="1"/>
    <x v="1"/>
    <n v="4"/>
    <x v="1"/>
    <n v="2782"/>
    <n v="21412"/>
    <n v="3"/>
    <s v="Y"/>
    <s v="No"/>
    <n v="22"/>
    <n v="4"/>
    <n v="1"/>
    <n v="80"/>
    <n v="1"/>
    <n v="12"/>
    <n v="3"/>
    <n v="3"/>
    <n v="5"/>
    <n v="3"/>
    <n v="1"/>
    <n v="0"/>
  </r>
  <r>
    <n v="47"/>
    <x v="1"/>
    <x v="1"/>
    <s v="Non-Travel"/>
    <n v="1162"/>
    <x v="1"/>
    <n v="1"/>
    <n v="1"/>
    <x v="2"/>
    <n v="1"/>
    <n v="2000"/>
    <n v="3"/>
    <x v="0"/>
    <n v="98"/>
    <n v="3"/>
    <n v="3"/>
    <x v="7"/>
    <n v="2"/>
    <x v="1"/>
    <n v="11957"/>
    <n v="17231"/>
    <n v="0"/>
    <s v="Y"/>
    <s v="No"/>
    <n v="18"/>
    <n v="3"/>
    <n v="1"/>
    <n v="80"/>
    <n v="2"/>
    <n v="14"/>
    <n v="3"/>
    <n v="1"/>
    <n v="13"/>
    <n v="8"/>
    <n v="5"/>
    <n v="12"/>
  </r>
  <r>
    <n v="35"/>
    <x v="2"/>
    <x v="1"/>
    <s v="Travel_Rarely"/>
    <n v="1490"/>
    <x v="1"/>
    <n v="11"/>
    <n v="4"/>
    <x v="2"/>
    <n v="1"/>
    <n v="2003"/>
    <n v="4"/>
    <x v="1"/>
    <n v="43"/>
    <n v="3"/>
    <n v="1"/>
    <x v="2"/>
    <n v="3"/>
    <x v="1"/>
    <n v="2660"/>
    <n v="20232"/>
    <n v="7"/>
    <s v="Y"/>
    <s v="Yes"/>
    <n v="11"/>
    <n v="3"/>
    <n v="3"/>
    <n v="80"/>
    <n v="1"/>
    <n v="5"/>
    <n v="3"/>
    <n v="3"/>
    <n v="2"/>
    <n v="2"/>
    <n v="2"/>
    <n v="2"/>
  </r>
  <r>
    <n v="22"/>
    <x v="3"/>
    <x v="1"/>
    <s v="Travel_Rarely"/>
    <n v="581"/>
    <x v="1"/>
    <n v="1"/>
    <n v="2"/>
    <x v="0"/>
    <n v="1"/>
    <n v="2007"/>
    <n v="4"/>
    <x v="1"/>
    <n v="63"/>
    <n v="3"/>
    <n v="1"/>
    <x v="1"/>
    <n v="3"/>
    <x v="0"/>
    <n v="3375"/>
    <n v="17624"/>
    <n v="0"/>
    <s v="Y"/>
    <s v="No"/>
    <n v="12"/>
    <n v="3"/>
    <n v="4"/>
    <n v="80"/>
    <n v="0"/>
    <n v="4"/>
    <n v="2"/>
    <n v="4"/>
    <n v="3"/>
    <n v="2"/>
    <n v="1"/>
    <n v="2"/>
  </r>
  <r>
    <n v="35"/>
    <x v="2"/>
    <x v="1"/>
    <s v="Travel_Rarely"/>
    <n v="1395"/>
    <x v="1"/>
    <n v="9"/>
    <n v="4"/>
    <x v="2"/>
    <n v="1"/>
    <n v="2008"/>
    <n v="2"/>
    <x v="1"/>
    <n v="48"/>
    <n v="3"/>
    <n v="2"/>
    <x v="1"/>
    <n v="3"/>
    <x v="0"/>
    <n v="5098"/>
    <n v="18698"/>
    <n v="1"/>
    <s v="Y"/>
    <s v="No"/>
    <n v="19"/>
    <n v="3"/>
    <n v="2"/>
    <n v="80"/>
    <n v="0"/>
    <n v="10"/>
    <n v="5"/>
    <n v="3"/>
    <n v="10"/>
    <n v="7"/>
    <n v="0"/>
    <n v="8"/>
  </r>
  <r>
    <n v="33"/>
    <x v="2"/>
    <x v="1"/>
    <s v="Travel_Rarely"/>
    <n v="501"/>
    <x v="1"/>
    <n v="15"/>
    <n v="2"/>
    <x v="2"/>
    <n v="1"/>
    <n v="2009"/>
    <n v="2"/>
    <x v="0"/>
    <n v="95"/>
    <n v="3"/>
    <n v="2"/>
    <x v="4"/>
    <n v="4"/>
    <x v="1"/>
    <n v="4878"/>
    <n v="21653"/>
    <n v="0"/>
    <s v="Y"/>
    <s v="Yes"/>
    <n v="13"/>
    <n v="3"/>
    <n v="1"/>
    <n v="80"/>
    <n v="1"/>
    <n v="10"/>
    <n v="6"/>
    <n v="3"/>
    <n v="9"/>
    <n v="7"/>
    <n v="8"/>
    <n v="1"/>
  </r>
  <r>
    <n v="32"/>
    <x v="2"/>
    <x v="1"/>
    <s v="Travel_Rarely"/>
    <n v="267"/>
    <x v="1"/>
    <n v="29"/>
    <n v="4"/>
    <x v="0"/>
    <n v="1"/>
    <n v="2010"/>
    <n v="3"/>
    <x v="0"/>
    <n v="49"/>
    <n v="2"/>
    <n v="1"/>
    <x v="2"/>
    <n v="2"/>
    <x v="0"/>
    <n v="2837"/>
    <n v="15919"/>
    <n v="1"/>
    <s v="Y"/>
    <s v="No"/>
    <n v="13"/>
    <n v="3"/>
    <n v="3"/>
    <n v="80"/>
    <n v="0"/>
    <n v="6"/>
    <n v="3"/>
    <n v="3"/>
    <n v="6"/>
    <n v="2"/>
    <n v="4"/>
    <n v="1"/>
  </r>
  <r>
    <n v="40"/>
    <x v="0"/>
    <x v="1"/>
    <s v="Travel_Rarely"/>
    <n v="543"/>
    <x v="1"/>
    <n v="1"/>
    <n v="4"/>
    <x v="0"/>
    <n v="1"/>
    <n v="2012"/>
    <n v="1"/>
    <x v="1"/>
    <n v="83"/>
    <n v="3"/>
    <n v="1"/>
    <x v="2"/>
    <n v="4"/>
    <x v="1"/>
    <n v="2406"/>
    <n v="4060"/>
    <n v="8"/>
    <s v="Y"/>
    <s v="No"/>
    <n v="19"/>
    <n v="3"/>
    <n v="3"/>
    <n v="80"/>
    <n v="2"/>
    <n v="8"/>
    <n v="3"/>
    <n v="2"/>
    <n v="1"/>
    <n v="0"/>
    <n v="0"/>
    <n v="0"/>
  </r>
  <r>
    <n v="32"/>
    <x v="2"/>
    <x v="1"/>
    <s v="Travel_Rarely"/>
    <n v="234"/>
    <x v="0"/>
    <n v="1"/>
    <n v="4"/>
    <x v="2"/>
    <n v="1"/>
    <n v="2013"/>
    <n v="2"/>
    <x v="1"/>
    <n v="68"/>
    <n v="2"/>
    <n v="1"/>
    <x v="6"/>
    <n v="2"/>
    <x v="1"/>
    <n v="2269"/>
    <n v="18024"/>
    <n v="0"/>
    <s v="Y"/>
    <s v="No"/>
    <n v="14"/>
    <n v="3"/>
    <n v="2"/>
    <n v="80"/>
    <n v="1"/>
    <n v="3"/>
    <n v="2"/>
    <n v="3"/>
    <n v="2"/>
    <n v="2"/>
    <n v="2"/>
    <n v="2"/>
  </r>
  <r>
    <n v="39"/>
    <x v="0"/>
    <x v="1"/>
    <s v="Travel_Rarely"/>
    <n v="116"/>
    <x v="1"/>
    <n v="24"/>
    <n v="1"/>
    <x v="0"/>
    <n v="1"/>
    <n v="2014"/>
    <n v="1"/>
    <x v="1"/>
    <n v="52"/>
    <n v="3"/>
    <n v="2"/>
    <x v="1"/>
    <n v="4"/>
    <x v="0"/>
    <n v="4108"/>
    <n v="5340"/>
    <n v="7"/>
    <s v="Y"/>
    <s v="No"/>
    <n v="13"/>
    <n v="3"/>
    <n v="1"/>
    <n v="80"/>
    <n v="0"/>
    <n v="18"/>
    <n v="2"/>
    <n v="3"/>
    <n v="7"/>
    <n v="7"/>
    <n v="1"/>
    <n v="7"/>
  </r>
  <r>
    <n v="38"/>
    <x v="0"/>
    <x v="1"/>
    <s v="Travel_Rarely"/>
    <n v="201"/>
    <x v="1"/>
    <n v="10"/>
    <n v="3"/>
    <x v="2"/>
    <n v="1"/>
    <n v="2015"/>
    <n v="2"/>
    <x v="0"/>
    <n v="99"/>
    <n v="1"/>
    <n v="3"/>
    <x v="7"/>
    <n v="3"/>
    <x v="1"/>
    <n v="13206"/>
    <n v="3376"/>
    <n v="3"/>
    <s v="Y"/>
    <s v="No"/>
    <n v="12"/>
    <n v="3"/>
    <n v="1"/>
    <n v="80"/>
    <n v="1"/>
    <n v="20"/>
    <n v="3"/>
    <n v="3"/>
    <n v="18"/>
    <n v="16"/>
    <n v="1"/>
    <n v="11"/>
  </r>
  <r>
    <n v="32"/>
    <x v="2"/>
    <x v="1"/>
    <s v="Travel_Rarely"/>
    <n v="801"/>
    <x v="0"/>
    <n v="1"/>
    <n v="4"/>
    <x v="3"/>
    <n v="1"/>
    <n v="2016"/>
    <n v="3"/>
    <x v="0"/>
    <n v="48"/>
    <n v="3"/>
    <n v="3"/>
    <x v="0"/>
    <n v="4"/>
    <x v="1"/>
    <n v="10422"/>
    <n v="24032"/>
    <n v="1"/>
    <s v="Y"/>
    <s v="No"/>
    <n v="19"/>
    <n v="3"/>
    <n v="3"/>
    <n v="80"/>
    <n v="2"/>
    <n v="14"/>
    <n v="3"/>
    <n v="3"/>
    <n v="14"/>
    <n v="10"/>
    <n v="5"/>
    <n v="7"/>
  </r>
  <r>
    <n v="37"/>
    <x v="0"/>
    <x v="1"/>
    <s v="Travel_Rarely"/>
    <n v="161"/>
    <x v="1"/>
    <n v="10"/>
    <n v="3"/>
    <x v="0"/>
    <n v="1"/>
    <n v="2017"/>
    <n v="3"/>
    <x v="0"/>
    <n v="42"/>
    <n v="4"/>
    <n v="3"/>
    <x v="7"/>
    <n v="4"/>
    <x v="1"/>
    <n v="13744"/>
    <n v="15471"/>
    <n v="1"/>
    <s v="Y"/>
    <s v="Yes"/>
    <n v="25"/>
    <n v="4"/>
    <n v="1"/>
    <n v="80"/>
    <n v="1"/>
    <n v="16"/>
    <n v="2"/>
    <n v="3"/>
    <n v="16"/>
    <n v="11"/>
    <n v="6"/>
    <n v="8"/>
  </r>
  <r>
    <n v="25"/>
    <x v="3"/>
    <x v="1"/>
    <s v="Travel_Rarely"/>
    <n v="1382"/>
    <x v="0"/>
    <n v="8"/>
    <n v="2"/>
    <x v="1"/>
    <n v="1"/>
    <n v="2018"/>
    <n v="1"/>
    <x v="0"/>
    <n v="85"/>
    <n v="3"/>
    <n v="2"/>
    <x v="0"/>
    <n v="3"/>
    <x v="2"/>
    <n v="4907"/>
    <n v="13684"/>
    <n v="0"/>
    <s v="Y"/>
    <s v="Yes"/>
    <n v="22"/>
    <n v="4"/>
    <n v="2"/>
    <n v="80"/>
    <n v="1"/>
    <n v="6"/>
    <n v="3"/>
    <n v="2"/>
    <n v="5"/>
    <n v="3"/>
    <n v="0"/>
    <n v="4"/>
  </r>
  <r>
    <n v="52"/>
    <x v="1"/>
    <x v="1"/>
    <s v="Non-Travel"/>
    <n v="585"/>
    <x v="0"/>
    <n v="29"/>
    <n v="4"/>
    <x v="0"/>
    <n v="1"/>
    <n v="2019"/>
    <n v="1"/>
    <x v="1"/>
    <n v="40"/>
    <n v="3"/>
    <n v="1"/>
    <x v="6"/>
    <n v="4"/>
    <x v="2"/>
    <n v="3482"/>
    <n v="19788"/>
    <n v="2"/>
    <s v="Y"/>
    <s v="No"/>
    <n v="15"/>
    <n v="3"/>
    <n v="2"/>
    <n v="80"/>
    <n v="2"/>
    <n v="16"/>
    <n v="3"/>
    <n v="2"/>
    <n v="9"/>
    <n v="8"/>
    <n v="0"/>
    <n v="0"/>
  </r>
  <r>
    <n v="44"/>
    <x v="0"/>
    <x v="1"/>
    <s v="Travel_Rarely"/>
    <n v="1037"/>
    <x v="1"/>
    <n v="1"/>
    <n v="3"/>
    <x v="2"/>
    <n v="1"/>
    <n v="2020"/>
    <n v="2"/>
    <x v="1"/>
    <n v="42"/>
    <n v="3"/>
    <n v="1"/>
    <x v="1"/>
    <n v="4"/>
    <x v="0"/>
    <n v="2436"/>
    <n v="13422"/>
    <n v="6"/>
    <s v="Y"/>
    <s v="Yes"/>
    <n v="12"/>
    <n v="3"/>
    <n v="3"/>
    <n v="80"/>
    <n v="0"/>
    <n v="6"/>
    <n v="2"/>
    <n v="3"/>
    <n v="4"/>
    <n v="3"/>
    <n v="1"/>
    <n v="2"/>
  </r>
  <r>
    <n v="21"/>
    <x v="3"/>
    <x v="1"/>
    <s v="Travel_Rarely"/>
    <n v="501"/>
    <x v="0"/>
    <n v="5"/>
    <n v="1"/>
    <x v="2"/>
    <n v="1"/>
    <n v="2021"/>
    <n v="3"/>
    <x v="1"/>
    <n v="58"/>
    <n v="3"/>
    <n v="1"/>
    <x v="6"/>
    <n v="1"/>
    <x v="0"/>
    <n v="2380"/>
    <n v="25479"/>
    <n v="1"/>
    <s v="Y"/>
    <s v="Yes"/>
    <n v="11"/>
    <n v="3"/>
    <n v="4"/>
    <n v="80"/>
    <n v="0"/>
    <n v="2"/>
    <n v="6"/>
    <n v="3"/>
    <n v="2"/>
    <n v="2"/>
    <n v="1"/>
    <n v="2"/>
  </r>
  <r>
    <n v="39"/>
    <x v="0"/>
    <x v="1"/>
    <s v="Non-Travel"/>
    <n v="105"/>
    <x v="1"/>
    <n v="9"/>
    <n v="3"/>
    <x v="0"/>
    <n v="1"/>
    <n v="2022"/>
    <n v="4"/>
    <x v="1"/>
    <n v="87"/>
    <n v="3"/>
    <n v="5"/>
    <x v="5"/>
    <n v="4"/>
    <x v="0"/>
    <n v="19431"/>
    <n v="15302"/>
    <n v="2"/>
    <s v="Y"/>
    <s v="No"/>
    <n v="13"/>
    <n v="3"/>
    <n v="3"/>
    <n v="80"/>
    <n v="0"/>
    <n v="21"/>
    <n v="3"/>
    <n v="2"/>
    <n v="6"/>
    <n v="0"/>
    <n v="1"/>
    <n v="3"/>
  </r>
  <r>
    <n v="23"/>
    <x v="3"/>
    <x v="0"/>
    <s v="Travel_Frequently"/>
    <n v="638"/>
    <x v="0"/>
    <n v="9"/>
    <n v="3"/>
    <x v="3"/>
    <n v="1"/>
    <n v="2023"/>
    <n v="4"/>
    <x v="1"/>
    <n v="33"/>
    <n v="3"/>
    <n v="1"/>
    <x v="6"/>
    <n v="1"/>
    <x v="1"/>
    <n v="1790"/>
    <n v="26956"/>
    <n v="1"/>
    <s v="Y"/>
    <s v="No"/>
    <n v="19"/>
    <n v="3"/>
    <n v="1"/>
    <n v="80"/>
    <n v="1"/>
    <n v="1"/>
    <n v="3"/>
    <n v="2"/>
    <n v="1"/>
    <n v="0"/>
    <n v="1"/>
    <n v="0"/>
  </r>
  <r>
    <n v="36"/>
    <x v="0"/>
    <x v="1"/>
    <s v="Travel_Rarely"/>
    <n v="557"/>
    <x v="0"/>
    <n v="3"/>
    <n v="3"/>
    <x v="2"/>
    <n v="1"/>
    <n v="2024"/>
    <n v="1"/>
    <x v="0"/>
    <n v="94"/>
    <n v="2"/>
    <n v="3"/>
    <x v="0"/>
    <n v="4"/>
    <x v="1"/>
    <n v="7644"/>
    <n v="12695"/>
    <n v="0"/>
    <s v="Y"/>
    <s v="No"/>
    <n v="19"/>
    <n v="3"/>
    <n v="3"/>
    <n v="80"/>
    <n v="2"/>
    <n v="10"/>
    <n v="2"/>
    <n v="3"/>
    <n v="9"/>
    <n v="7"/>
    <n v="3"/>
    <n v="4"/>
  </r>
  <r>
    <n v="36"/>
    <x v="0"/>
    <x v="1"/>
    <s v="Travel_Frequently"/>
    <n v="688"/>
    <x v="1"/>
    <n v="4"/>
    <n v="2"/>
    <x v="0"/>
    <n v="1"/>
    <n v="2025"/>
    <n v="4"/>
    <x v="0"/>
    <n v="97"/>
    <n v="3"/>
    <n v="2"/>
    <x v="3"/>
    <n v="2"/>
    <x v="2"/>
    <n v="5131"/>
    <n v="9192"/>
    <n v="7"/>
    <s v="Y"/>
    <s v="No"/>
    <n v="13"/>
    <n v="3"/>
    <n v="2"/>
    <n v="80"/>
    <n v="3"/>
    <n v="18"/>
    <n v="3"/>
    <n v="3"/>
    <n v="4"/>
    <n v="2"/>
    <n v="0"/>
    <n v="2"/>
  </r>
  <r>
    <n v="56"/>
    <x v="1"/>
    <x v="1"/>
    <s v="Non-Travel"/>
    <n v="667"/>
    <x v="1"/>
    <n v="1"/>
    <n v="4"/>
    <x v="0"/>
    <n v="1"/>
    <n v="2026"/>
    <n v="3"/>
    <x v="1"/>
    <n v="57"/>
    <n v="3"/>
    <n v="2"/>
    <x v="4"/>
    <n v="3"/>
    <x v="2"/>
    <n v="6306"/>
    <n v="26236"/>
    <n v="1"/>
    <s v="Y"/>
    <s v="No"/>
    <n v="21"/>
    <n v="4"/>
    <n v="1"/>
    <n v="80"/>
    <n v="1"/>
    <n v="13"/>
    <n v="2"/>
    <n v="2"/>
    <n v="13"/>
    <n v="12"/>
    <n v="1"/>
    <n v="9"/>
  </r>
  <r>
    <n v="29"/>
    <x v="2"/>
    <x v="0"/>
    <s v="Travel_Rarely"/>
    <n v="1092"/>
    <x v="1"/>
    <n v="1"/>
    <n v="4"/>
    <x v="2"/>
    <n v="1"/>
    <n v="2027"/>
    <n v="1"/>
    <x v="1"/>
    <n v="36"/>
    <n v="3"/>
    <n v="1"/>
    <x v="1"/>
    <n v="4"/>
    <x v="1"/>
    <n v="4787"/>
    <n v="26124"/>
    <n v="9"/>
    <s v="Y"/>
    <s v="Yes"/>
    <n v="14"/>
    <n v="3"/>
    <n v="2"/>
    <n v="80"/>
    <n v="3"/>
    <n v="4"/>
    <n v="3"/>
    <n v="4"/>
    <n v="2"/>
    <n v="2"/>
    <n v="2"/>
    <n v="2"/>
  </r>
  <r>
    <n v="42"/>
    <x v="0"/>
    <x v="1"/>
    <s v="Travel_Rarely"/>
    <n v="300"/>
    <x v="1"/>
    <n v="2"/>
    <n v="3"/>
    <x v="0"/>
    <n v="1"/>
    <n v="2031"/>
    <n v="1"/>
    <x v="1"/>
    <n v="56"/>
    <n v="3"/>
    <n v="5"/>
    <x v="5"/>
    <n v="3"/>
    <x v="1"/>
    <n v="18880"/>
    <n v="17312"/>
    <n v="5"/>
    <s v="Y"/>
    <s v="No"/>
    <n v="11"/>
    <n v="3"/>
    <n v="1"/>
    <n v="80"/>
    <n v="0"/>
    <n v="24"/>
    <n v="2"/>
    <n v="2"/>
    <n v="22"/>
    <n v="6"/>
    <n v="4"/>
    <n v="14"/>
  </r>
  <r>
    <n v="56"/>
    <x v="1"/>
    <x v="0"/>
    <s v="Travel_Rarely"/>
    <n v="310"/>
    <x v="1"/>
    <n v="7"/>
    <n v="2"/>
    <x v="4"/>
    <n v="1"/>
    <n v="2032"/>
    <n v="4"/>
    <x v="1"/>
    <n v="72"/>
    <n v="3"/>
    <n v="1"/>
    <x v="2"/>
    <n v="3"/>
    <x v="1"/>
    <n v="2339"/>
    <n v="3666"/>
    <n v="8"/>
    <s v="Y"/>
    <s v="No"/>
    <n v="11"/>
    <n v="3"/>
    <n v="4"/>
    <n v="80"/>
    <n v="1"/>
    <n v="14"/>
    <n v="4"/>
    <n v="1"/>
    <n v="10"/>
    <n v="9"/>
    <n v="9"/>
    <n v="8"/>
  </r>
  <r>
    <n v="41"/>
    <x v="0"/>
    <x v="1"/>
    <s v="Travel_Rarely"/>
    <n v="582"/>
    <x v="1"/>
    <n v="28"/>
    <n v="4"/>
    <x v="0"/>
    <n v="1"/>
    <n v="2034"/>
    <n v="1"/>
    <x v="0"/>
    <n v="60"/>
    <n v="2"/>
    <n v="4"/>
    <x v="3"/>
    <n v="2"/>
    <x v="1"/>
    <n v="13570"/>
    <n v="5640"/>
    <n v="0"/>
    <s v="Y"/>
    <s v="No"/>
    <n v="23"/>
    <n v="4"/>
    <n v="3"/>
    <n v="80"/>
    <n v="1"/>
    <n v="21"/>
    <n v="3"/>
    <n v="3"/>
    <n v="20"/>
    <n v="7"/>
    <n v="0"/>
    <n v="10"/>
  </r>
  <r>
    <n v="34"/>
    <x v="2"/>
    <x v="1"/>
    <s v="Travel_Rarely"/>
    <n v="704"/>
    <x v="0"/>
    <n v="28"/>
    <n v="3"/>
    <x v="3"/>
    <n v="1"/>
    <n v="2035"/>
    <n v="4"/>
    <x v="0"/>
    <n v="95"/>
    <n v="2"/>
    <n v="2"/>
    <x v="0"/>
    <n v="3"/>
    <x v="1"/>
    <n v="6712"/>
    <n v="8978"/>
    <n v="1"/>
    <s v="Y"/>
    <s v="No"/>
    <n v="21"/>
    <n v="4"/>
    <n v="4"/>
    <n v="80"/>
    <n v="2"/>
    <n v="8"/>
    <n v="2"/>
    <n v="3"/>
    <n v="8"/>
    <n v="7"/>
    <n v="1"/>
    <n v="7"/>
  </r>
  <r>
    <n v="36"/>
    <x v="0"/>
    <x v="1"/>
    <s v="Non-Travel"/>
    <n v="301"/>
    <x v="0"/>
    <n v="15"/>
    <n v="4"/>
    <x v="3"/>
    <n v="1"/>
    <n v="2036"/>
    <n v="4"/>
    <x v="1"/>
    <n v="88"/>
    <n v="1"/>
    <n v="2"/>
    <x v="0"/>
    <n v="4"/>
    <x v="2"/>
    <n v="5406"/>
    <n v="10436"/>
    <n v="1"/>
    <s v="Y"/>
    <s v="No"/>
    <n v="24"/>
    <n v="4"/>
    <n v="1"/>
    <n v="80"/>
    <n v="1"/>
    <n v="15"/>
    <n v="4"/>
    <n v="2"/>
    <n v="15"/>
    <n v="12"/>
    <n v="11"/>
    <n v="11"/>
  </r>
  <r>
    <n v="41"/>
    <x v="0"/>
    <x v="1"/>
    <s v="Travel_Rarely"/>
    <n v="930"/>
    <x v="0"/>
    <n v="3"/>
    <n v="3"/>
    <x v="0"/>
    <n v="1"/>
    <n v="2037"/>
    <n v="3"/>
    <x v="1"/>
    <n v="57"/>
    <n v="2"/>
    <n v="2"/>
    <x v="0"/>
    <n v="2"/>
    <x v="2"/>
    <n v="8938"/>
    <n v="12227"/>
    <n v="2"/>
    <s v="Y"/>
    <s v="No"/>
    <n v="11"/>
    <n v="3"/>
    <n v="3"/>
    <n v="80"/>
    <n v="1"/>
    <n v="14"/>
    <n v="5"/>
    <n v="3"/>
    <n v="5"/>
    <n v="4"/>
    <n v="0"/>
    <n v="4"/>
  </r>
  <r>
    <n v="32"/>
    <x v="2"/>
    <x v="1"/>
    <s v="Travel_Rarely"/>
    <n v="529"/>
    <x v="1"/>
    <n v="2"/>
    <n v="3"/>
    <x v="4"/>
    <n v="1"/>
    <n v="2038"/>
    <n v="4"/>
    <x v="1"/>
    <n v="78"/>
    <n v="3"/>
    <n v="1"/>
    <x v="1"/>
    <n v="1"/>
    <x v="0"/>
    <n v="2439"/>
    <n v="11288"/>
    <n v="1"/>
    <s v="Y"/>
    <s v="No"/>
    <n v="14"/>
    <n v="3"/>
    <n v="4"/>
    <n v="80"/>
    <n v="0"/>
    <n v="4"/>
    <n v="4"/>
    <n v="3"/>
    <n v="4"/>
    <n v="2"/>
    <n v="1"/>
    <n v="2"/>
  </r>
  <r>
    <n v="35"/>
    <x v="2"/>
    <x v="1"/>
    <s v="Travel_Rarely"/>
    <n v="1146"/>
    <x v="2"/>
    <n v="26"/>
    <n v="4"/>
    <x v="0"/>
    <n v="1"/>
    <n v="2040"/>
    <n v="3"/>
    <x v="0"/>
    <n v="31"/>
    <n v="3"/>
    <n v="3"/>
    <x v="8"/>
    <n v="4"/>
    <x v="0"/>
    <n v="8837"/>
    <n v="16642"/>
    <n v="1"/>
    <s v="Y"/>
    <s v="Yes"/>
    <n v="16"/>
    <n v="3"/>
    <n v="3"/>
    <n v="80"/>
    <n v="0"/>
    <n v="9"/>
    <n v="2"/>
    <n v="3"/>
    <n v="9"/>
    <n v="0"/>
    <n v="1"/>
    <n v="7"/>
  </r>
  <r>
    <n v="38"/>
    <x v="0"/>
    <x v="1"/>
    <s v="Travel_Rarely"/>
    <n v="345"/>
    <x v="0"/>
    <n v="10"/>
    <n v="2"/>
    <x v="0"/>
    <n v="1"/>
    <n v="2041"/>
    <n v="1"/>
    <x v="0"/>
    <n v="100"/>
    <n v="3"/>
    <n v="2"/>
    <x v="0"/>
    <n v="4"/>
    <x v="1"/>
    <n v="5343"/>
    <n v="5982"/>
    <n v="1"/>
    <s v="Y"/>
    <s v="No"/>
    <n v="11"/>
    <n v="3"/>
    <n v="3"/>
    <n v="80"/>
    <n v="1"/>
    <n v="10"/>
    <n v="1"/>
    <n v="3"/>
    <n v="10"/>
    <n v="7"/>
    <n v="1"/>
    <n v="9"/>
  </r>
  <r>
    <n v="50"/>
    <x v="1"/>
    <x v="0"/>
    <s v="Travel_Frequently"/>
    <n v="878"/>
    <x v="0"/>
    <n v="1"/>
    <n v="4"/>
    <x v="0"/>
    <n v="1"/>
    <n v="2044"/>
    <n v="2"/>
    <x v="1"/>
    <n v="94"/>
    <n v="3"/>
    <n v="2"/>
    <x v="0"/>
    <n v="3"/>
    <x v="2"/>
    <n v="6728"/>
    <n v="14255"/>
    <n v="7"/>
    <s v="Y"/>
    <s v="No"/>
    <n v="12"/>
    <n v="3"/>
    <n v="4"/>
    <n v="80"/>
    <n v="2"/>
    <n v="12"/>
    <n v="3"/>
    <n v="3"/>
    <n v="6"/>
    <n v="3"/>
    <n v="0"/>
    <n v="1"/>
  </r>
  <r>
    <n v="36"/>
    <x v="0"/>
    <x v="1"/>
    <s v="Travel_Rarely"/>
    <n v="1120"/>
    <x v="0"/>
    <n v="11"/>
    <n v="4"/>
    <x v="3"/>
    <n v="1"/>
    <n v="2045"/>
    <n v="2"/>
    <x v="0"/>
    <n v="100"/>
    <n v="2"/>
    <n v="2"/>
    <x v="0"/>
    <n v="4"/>
    <x v="1"/>
    <n v="6652"/>
    <n v="14369"/>
    <n v="4"/>
    <s v="Y"/>
    <s v="No"/>
    <n v="13"/>
    <n v="3"/>
    <n v="1"/>
    <n v="80"/>
    <n v="1"/>
    <n v="8"/>
    <n v="2"/>
    <n v="2"/>
    <n v="6"/>
    <n v="3"/>
    <n v="0"/>
    <n v="0"/>
  </r>
  <r>
    <n v="45"/>
    <x v="0"/>
    <x v="1"/>
    <s v="Travel_Rarely"/>
    <n v="374"/>
    <x v="0"/>
    <n v="20"/>
    <n v="3"/>
    <x v="0"/>
    <n v="1"/>
    <n v="2046"/>
    <n v="4"/>
    <x v="0"/>
    <n v="50"/>
    <n v="3"/>
    <n v="2"/>
    <x v="0"/>
    <n v="3"/>
    <x v="0"/>
    <n v="4850"/>
    <n v="23333"/>
    <n v="8"/>
    <s v="Y"/>
    <s v="No"/>
    <n v="15"/>
    <n v="3"/>
    <n v="3"/>
    <n v="80"/>
    <n v="0"/>
    <n v="8"/>
    <n v="3"/>
    <n v="3"/>
    <n v="5"/>
    <n v="3"/>
    <n v="0"/>
    <n v="1"/>
  </r>
  <r>
    <n v="40"/>
    <x v="0"/>
    <x v="1"/>
    <s v="Travel_Rarely"/>
    <n v="1322"/>
    <x v="1"/>
    <n v="2"/>
    <n v="4"/>
    <x v="0"/>
    <n v="1"/>
    <n v="2048"/>
    <n v="3"/>
    <x v="1"/>
    <n v="52"/>
    <n v="2"/>
    <n v="1"/>
    <x v="1"/>
    <n v="3"/>
    <x v="0"/>
    <n v="2809"/>
    <n v="2725"/>
    <n v="2"/>
    <s v="Y"/>
    <s v="No"/>
    <n v="14"/>
    <n v="3"/>
    <n v="4"/>
    <n v="80"/>
    <n v="0"/>
    <n v="8"/>
    <n v="2"/>
    <n v="3"/>
    <n v="2"/>
    <n v="2"/>
    <n v="2"/>
    <n v="2"/>
  </r>
  <r>
    <n v="35"/>
    <x v="2"/>
    <x v="1"/>
    <s v="Travel_Frequently"/>
    <n v="1199"/>
    <x v="1"/>
    <n v="18"/>
    <n v="4"/>
    <x v="0"/>
    <n v="1"/>
    <n v="2049"/>
    <n v="3"/>
    <x v="1"/>
    <n v="80"/>
    <n v="3"/>
    <n v="2"/>
    <x v="4"/>
    <n v="3"/>
    <x v="1"/>
    <n v="5689"/>
    <n v="24594"/>
    <n v="1"/>
    <s v="Y"/>
    <s v="Yes"/>
    <n v="14"/>
    <n v="3"/>
    <n v="4"/>
    <n v="80"/>
    <n v="2"/>
    <n v="10"/>
    <n v="2"/>
    <n v="4"/>
    <n v="10"/>
    <n v="2"/>
    <n v="0"/>
    <n v="2"/>
  </r>
  <r>
    <n v="40"/>
    <x v="0"/>
    <x v="1"/>
    <s v="Travel_Rarely"/>
    <n v="1194"/>
    <x v="1"/>
    <n v="2"/>
    <n v="4"/>
    <x v="2"/>
    <n v="1"/>
    <n v="2051"/>
    <n v="3"/>
    <x v="0"/>
    <n v="98"/>
    <n v="3"/>
    <n v="1"/>
    <x v="1"/>
    <n v="3"/>
    <x v="1"/>
    <n v="2001"/>
    <n v="12549"/>
    <n v="2"/>
    <s v="Y"/>
    <s v="No"/>
    <n v="14"/>
    <n v="3"/>
    <n v="2"/>
    <n v="80"/>
    <n v="3"/>
    <n v="20"/>
    <n v="2"/>
    <n v="3"/>
    <n v="5"/>
    <n v="3"/>
    <n v="0"/>
    <n v="2"/>
  </r>
  <r>
    <n v="35"/>
    <x v="2"/>
    <x v="1"/>
    <s v="Travel_Rarely"/>
    <n v="287"/>
    <x v="1"/>
    <n v="1"/>
    <n v="4"/>
    <x v="0"/>
    <n v="1"/>
    <n v="2052"/>
    <n v="3"/>
    <x v="0"/>
    <n v="62"/>
    <n v="1"/>
    <n v="1"/>
    <x v="1"/>
    <n v="4"/>
    <x v="1"/>
    <n v="2977"/>
    <n v="8952"/>
    <n v="1"/>
    <s v="Y"/>
    <s v="No"/>
    <n v="12"/>
    <n v="3"/>
    <n v="4"/>
    <n v="80"/>
    <n v="1"/>
    <n v="4"/>
    <n v="5"/>
    <n v="3"/>
    <n v="4"/>
    <n v="3"/>
    <n v="1"/>
    <n v="1"/>
  </r>
  <r>
    <n v="29"/>
    <x v="2"/>
    <x v="1"/>
    <s v="Travel_Rarely"/>
    <n v="1378"/>
    <x v="1"/>
    <n v="13"/>
    <n v="2"/>
    <x v="1"/>
    <n v="1"/>
    <n v="2053"/>
    <n v="4"/>
    <x v="1"/>
    <n v="46"/>
    <n v="2"/>
    <n v="2"/>
    <x v="2"/>
    <n v="2"/>
    <x v="1"/>
    <n v="4025"/>
    <n v="23679"/>
    <n v="4"/>
    <s v="Y"/>
    <s v="Yes"/>
    <n v="13"/>
    <n v="3"/>
    <n v="1"/>
    <n v="80"/>
    <n v="1"/>
    <n v="10"/>
    <n v="2"/>
    <n v="3"/>
    <n v="4"/>
    <n v="3"/>
    <n v="0"/>
    <n v="3"/>
  </r>
  <r>
    <n v="29"/>
    <x v="2"/>
    <x v="1"/>
    <s v="Travel_Rarely"/>
    <n v="468"/>
    <x v="1"/>
    <n v="28"/>
    <n v="4"/>
    <x v="2"/>
    <n v="1"/>
    <n v="2054"/>
    <n v="4"/>
    <x v="0"/>
    <n v="73"/>
    <n v="2"/>
    <n v="1"/>
    <x v="1"/>
    <n v="1"/>
    <x v="0"/>
    <n v="3785"/>
    <n v="8489"/>
    <n v="1"/>
    <s v="Y"/>
    <s v="No"/>
    <n v="14"/>
    <n v="3"/>
    <n v="2"/>
    <n v="80"/>
    <n v="0"/>
    <n v="5"/>
    <n v="3"/>
    <n v="1"/>
    <n v="5"/>
    <n v="4"/>
    <n v="0"/>
    <n v="4"/>
  </r>
  <r>
    <n v="50"/>
    <x v="1"/>
    <x v="0"/>
    <s v="Travel_Rarely"/>
    <n v="410"/>
    <x v="0"/>
    <n v="28"/>
    <n v="3"/>
    <x v="3"/>
    <n v="1"/>
    <n v="2055"/>
    <n v="4"/>
    <x v="1"/>
    <n v="39"/>
    <n v="2"/>
    <n v="3"/>
    <x v="0"/>
    <n v="1"/>
    <x v="2"/>
    <n v="10854"/>
    <n v="16586"/>
    <n v="4"/>
    <s v="Y"/>
    <s v="Yes"/>
    <n v="13"/>
    <n v="3"/>
    <n v="2"/>
    <n v="80"/>
    <n v="1"/>
    <n v="20"/>
    <n v="3"/>
    <n v="3"/>
    <n v="3"/>
    <n v="2"/>
    <n v="2"/>
    <n v="0"/>
  </r>
  <r>
    <n v="39"/>
    <x v="0"/>
    <x v="1"/>
    <s v="Travel_Rarely"/>
    <n v="722"/>
    <x v="0"/>
    <n v="24"/>
    <n v="1"/>
    <x v="3"/>
    <n v="1"/>
    <n v="2056"/>
    <n v="2"/>
    <x v="0"/>
    <n v="60"/>
    <n v="2"/>
    <n v="4"/>
    <x v="0"/>
    <n v="4"/>
    <x v="1"/>
    <n v="12031"/>
    <n v="8828"/>
    <n v="0"/>
    <s v="Y"/>
    <s v="No"/>
    <n v="11"/>
    <n v="3"/>
    <n v="1"/>
    <n v="80"/>
    <n v="1"/>
    <n v="21"/>
    <n v="2"/>
    <n v="2"/>
    <n v="20"/>
    <n v="9"/>
    <n v="9"/>
    <n v="6"/>
  </r>
  <r>
    <n v="31"/>
    <x v="2"/>
    <x v="1"/>
    <s v="Non-Travel"/>
    <n v="325"/>
    <x v="1"/>
    <n v="5"/>
    <n v="3"/>
    <x v="2"/>
    <n v="1"/>
    <n v="2057"/>
    <n v="2"/>
    <x v="1"/>
    <n v="74"/>
    <n v="3"/>
    <n v="2"/>
    <x v="3"/>
    <n v="1"/>
    <x v="0"/>
    <n v="9936"/>
    <n v="3787"/>
    <n v="0"/>
    <s v="Y"/>
    <s v="No"/>
    <n v="19"/>
    <n v="3"/>
    <n v="2"/>
    <n v="80"/>
    <n v="0"/>
    <n v="10"/>
    <n v="2"/>
    <n v="3"/>
    <n v="9"/>
    <n v="4"/>
    <n v="1"/>
    <n v="7"/>
  </r>
  <r>
    <n v="26"/>
    <x v="2"/>
    <x v="1"/>
    <s v="Travel_Rarely"/>
    <n v="1167"/>
    <x v="0"/>
    <n v="5"/>
    <n v="3"/>
    <x v="1"/>
    <n v="1"/>
    <n v="2060"/>
    <n v="4"/>
    <x v="0"/>
    <n v="30"/>
    <n v="2"/>
    <n v="1"/>
    <x v="6"/>
    <n v="3"/>
    <x v="0"/>
    <n v="2966"/>
    <n v="21378"/>
    <n v="0"/>
    <s v="Y"/>
    <s v="No"/>
    <n v="18"/>
    <n v="3"/>
    <n v="4"/>
    <n v="80"/>
    <n v="0"/>
    <n v="5"/>
    <n v="2"/>
    <n v="3"/>
    <n v="4"/>
    <n v="2"/>
    <n v="0"/>
    <n v="0"/>
  </r>
  <r>
    <n v="36"/>
    <x v="0"/>
    <x v="1"/>
    <s v="Travel_Frequently"/>
    <n v="884"/>
    <x v="1"/>
    <n v="23"/>
    <n v="2"/>
    <x v="2"/>
    <n v="1"/>
    <n v="2061"/>
    <n v="3"/>
    <x v="1"/>
    <n v="41"/>
    <n v="4"/>
    <n v="2"/>
    <x v="2"/>
    <n v="4"/>
    <x v="1"/>
    <n v="2571"/>
    <n v="12290"/>
    <n v="4"/>
    <s v="Y"/>
    <s v="No"/>
    <n v="17"/>
    <n v="3"/>
    <n v="3"/>
    <n v="80"/>
    <n v="1"/>
    <n v="17"/>
    <n v="3"/>
    <n v="3"/>
    <n v="5"/>
    <n v="2"/>
    <n v="0"/>
    <n v="3"/>
  </r>
  <r>
    <n v="39"/>
    <x v="0"/>
    <x v="1"/>
    <s v="Travel_Rarely"/>
    <n v="613"/>
    <x v="1"/>
    <n v="6"/>
    <n v="1"/>
    <x v="2"/>
    <n v="1"/>
    <n v="2062"/>
    <n v="4"/>
    <x v="1"/>
    <n v="42"/>
    <n v="2"/>
    <n v="3"/>
    <x v="4"/>
    <n v="1"/>
    <x v="1"/>
    <n v="9991"/>
    <n v="21457"/>
    <n v="4"/>
    <s v="Y"/>
    <s v="No"/>
    <n v="15"/>
    <n v="3"/>
    <n v="1"/>
    <n v="80"/>
    <n v="1"/>
    <n v="9"/>
    <n v="5"/>
    <n v="3"/>
    <n v="7"/>
    <n v="7"/>
    <n v="1"/>
    <n v="7"/>
  </r>
  <r>
    <n v="27"/>
    <x v="2"/>
    <x v="1"/>
    <s v="Travel_Rarely"/>
    <n v="155"/>
    <x v="1"/>
    <n v="4"/>
    <n v="3"/>
    <x v="0"/>
    <n v="1"/>
    <n v="2064"/>
    <n v="2"/>
    <x v="1"/>
    <n v="87"/>
    <n v="4"/>
    <n v="2"/>
    <x v="3"/>
    <n v="2"/>
    <x v="1"/>
    <n v="6142"/>
    <n v="5174"/>
    <n v="1"/>
    <s v="Y"/>
    <s v="Yes"/>
    <n v="20"/>
    <n v="4"/>
    <n v="2"/>
    <n v="80"/>
    <n v="1"/>
    <n v="6"/>
    <n v="0"/>
    <n v="3"/>
    <n v="6"/>
    <n v="2"/>
    <n v="0"/>
    <n v="3"/>
  </r>
  <r>
    <n v="49"/>
    <x v="1"/>
    <x v="1"/>
    <s v="Travel_Frequently"/>
    <n v="1023"/>
    <x v="0"/>
    <n v="2"/>
    <n v="3"/>
    <x v="2"/>
    <n v="1"/>
    <n v="2065"/>
    <n v="4"/>
    <x v="1"/>
    <n v="63"/>
    <n v="2"/>
    <n v="2"/>
    <x v="0"/>
    <n v="2"/>
    <x v="1"/>
    <n v="5390"/>
    <n v="13243"/>
    <n v="2"/>
    <s v="Y"/>
    <s v="No"/>
    <n v="14"/>
    <n v="3"/>
    <n v="4"/>
    <n v="80"/>
    <n v="0"/>
    <n v="17"/>
    <n v="3"/>
    <n v="2"/>
    <n v="9"/>
    <n v="6"/>
    <n v="0"/>
    <n v="8"/>
  </r>
  <r>
    <n v="34"/>
    <x v="2"/>
    <x v="1"/>
    <s v="Travel_Rarely"/>
    <n v="628"/>
    <x v="1"/>
    <n v="8"/>
    <n v="3"/>
    <x v="2"/>
    <n v="1"/>
    <n v="2068"/>
    <n v="2"/>
    <x v="1"/>
    <n v="82"/>
    <n v="4"/>
    <n v="2"/>
    <x v="2"/>
    <n v="3"/>
    <x v="1"/>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A59D28-3557-42AB-B64C-C266C17C2D21}" name="attrition by educsational fiel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33:E38" firstHeaderRow="1" firstDataRow="1" firstDataCol="1" rowPageCount="1" colPageCount="1"/>
  <pivotFields count="36">
    <pivotField showAll="0"/>
    <pivotField showAll="0"/>
    <pivotField axis="axisPage" dataField="1" multipleItemSelectionAllowed="1" showAll="0">
      <items count="3">
        <item h="1" x="1"/>
        <item x="0"/>
        <item t="default"/>
      </items>
    </pivotField>
    <pivotField showAll="0"/>
    <pivotField showAll="0"/>
    <pivotField showAll="0">
      <items count="4">
        <item h="1" x="2"/>
        <item x="1"/>
        <item h="1" x="0"/>
        <item t="default"/>
      </items>
    </pivotField>
    <pivotField showAll="0"/>
    <pivotField showAll="0"/>
    <pivotField axis="axisRow" showAll="0" sortType="ascending">
      <items count="7">
        <item x="4"/>
        <item x="1"/>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v="1"/>
    </i>
    <i>
      <x/>
    </i>
    <i>
      <x v="2"/>
    </i>
    <i>
      <x v="4"/>
    </i>
    <i t="grand">
      <x/>
    </i>
  </rowItems>
  <colItems count="1">
    <i/>
  </colItems>
  <pageFields count="1">
    <pageField fld="2" hier="-1"/>
  </pageFields>
  <dataFields count="1">
    <dataField name="Count of Attrition"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ACD835-46BD-402C-A9A6-11B0F7CFEAD2}" name="average of ag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C2" firstHeaderRow="1" firstDataRow="1" firstDataCol="0"/>
  <pivotFields count="36">
    <pivotField dataField="1" showAll="0"/>
    <pivotField showAll="0"/>
    <pivotField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AC2339-35C2-4253-9113-59DD76D044B1}" name="attrition by departmen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22:B24" firstHeaderRow="1" firstDataRow="1" firstDataCol="1" rowPageCount="1" colPageCount="1"/>
  <pivotFields count="36">
    <pivotField showAll="0"/>
    <pivotField showAll="0"/>
    <pivotField axis="axisPage" showAll="0">
      <items count="3">
        <item x="1"/>
        <item x="0"/>
        <item t="default"/>
      </items>
    </pivotField>
    <pivotField showAll="0"/>
    <pivotField showAll="0"/>
    <pivotField axis="axisRow" showAll="0" sortType="ascending">
      <items count="4">
        <item h="1" x="2"/>
        <item x="1"/>
        <item h="1"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v="1"/>
    </i>
    <i t="grand">
      <x/>
    </i>
  </rowItems>
  <colItems count="1">
    <i/>
  </colItems>
  <pageFields count="1">
    <pageField fld="2" item="1" hier="-1"/>
  </pageFields>
  <dataFields count="1">
    <dataField name="Count of EmployeeNumber" fld="10" subtotal="count" showDataAs="percentOfCol" baseField="4"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2709AE-1CA7-45C0-B682-86F3A1C02031}" name="total employe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36">
    <pivotField showAll="0"/>
    <pivotField showAll="0"/>
    <pivotField showAll="0"/>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10" subtotal="count"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16F762-88F5-4BB9-A57A-3418D8BC496D}" name="attrition rat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4:B16" firstHeaderRow="1" firstDataRow="1" firstDataCol="1"/>
  <pivotFields count="36">
    <pivotField showAll="0"/>
    <pivotField showAll="0"/>
    <pivotField axis="axisRow" showAll="0">
      <items count="3">
        <item h="1" x="1"/>
        <item x="0"/>
        <item t="default"/>
      </items>
    </pivotField>
    <pivotField showAll="0"/>
    <pivotField showAll="0"/>
    <pivotField showAll="0">
      <items count="4">
        <item h="1" x="2"/>
        <item x="1"/>
        <item h="1" x="0"/>
        <item t="default"/>
      </items>
    </pivotField>
    <pivotField showAll="0"/>
    <pivotField showAll="0"/>
    <pivotField showAll="0">
      <items count="7">
        <item h="1" x="5"/>
        <item h="1" x="0"/>
        <item h="1" x="3"/>
        <item x="2"/>
        <item h="1" x="1"/>
        <item h="1"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Items count="1">
    <i/>
  </colItems>
  <dataFields count="1">
    <dataField name="Count of EmployeeNumber" fld="10"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1EC32-46E3-4C1D-B207-53D37110B98D}" name="attrition by jobrol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2:B39" firstHeaderRow="1" firstDataRow="1" firstDataCol="1" rowPageCount="1" colPageCount="1"/>
  <pivotFields count="36">
    <pivotField showAll="0"/>
    <pivotField showAll="0"/>
    <pivotField axis="axisPage"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7">
    <i>
      <x v="5"/>
    </i>
    <i>
      <x v="3"/>
    </i>
    <i>
      <x/>
    </i>
    <i>
      <x v="4"/>
    </i>
    <i>
      <x v="6"/>
    </i>
    <i>
      <x v="2"/>
    </i>
    <i t="grand">
      <x/>
    </i>
  </rowItems>
  <colItems count="1">
    <i/>
  </colItems>
  <pageFields count="1">
    <pageField fld="2" item="1" hier="-1"/>
  </pageFields>
  <dataFields count="1">
    <dataField name="Count of EmployeeNumber" fld="1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076EA3-2317-49D2-A25B-267031C7D4C4}" name="attrition coun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B11" firstHeaderRow="1" firstDataRow="1" firstDataCol="1"/>
  <pivotFields count="36">
    <pivotField showAll="0"/>
    <pivotField showAll="0"/>
    <pivotField axis="axisRow" showAll="0">
      <items count="3">
        <item h="1"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Items count="1">
    <i/>
  </colItems>
  <dataFields count="1">
    <dataField name="Count of EmployeeNumber" fld="10" subtotal="count" baseField="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1BBAB7-28B6-438F-BE73-990957D96C15}" name="attrition by agegroup"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22:E27" firstHeaderRow="1" firstDataRow="1" firstDataCol="1" rowPageCount="1" colPageCount="1"/>
  <pivotFields count="36">
    <pivotField showAll="0"/>
    <pivotField axis="axisRow"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3"/>
    </i>
    <i>
      <x/>
    </i>
    <i>
      <x v="2"/>
    </i>
    <i>
      <x v="1"/>
    </i>
    <i t="grand">
      <x/>
    </i>
  </rowItems>
  <colItems count="1">
    <i/>
  </colItems>
  <pageFields count="1">
    <pageField fld="2" item="1" hier="-1"/>
  </pageFields>
  <dataFields count="1">
    <dataField name="Count of EmployeeNumber" fld="1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F77F1A-12C0-4116-867C-2BA75273E8AA}" name="Attrition by gende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4:E17" firstHeaderRow="1" firstDataRow="1" firstDataCol="1" rowPageCount="1" colPageCount="1"/>
  <pivotFields count="36">
    <pivotField showAll="0"/>
    <pivotField showAll="0"/>
    <pivotField axis="axisPage"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pageFields count="1">
    <pageField fld="2" item="1" hier="-1"/>
  </pageFields>
  <dataFields count="1">
    <dataField name="Count of EmployeeNumber"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78F4E5-FF35-40B7-9F5F-C49A9E5E5EDF}"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6">
    <pivotField showAll="0"/>
    <pivotField showAll="0"/>
    <pivotField showAll="0"/>
    <pivotField showAll="0"/>
    <pivotField showAll="0"/>
    <pivotField showAll="0">
      <items count="4">
        <item h="1" x="2"/>
        <item x="1"/>
        <item h="1" x="0"/>
        <item t="default"/>
      </items>
    </pivotField>
    <pivotField showAll="0"/>
    <pivotField showAll="0"/>
    <pivotField showAll="0">
      <items count="7">
        <item h="1" x="5"/>
        <item x="0"/>
        <item h="1" x="3"/>
        <item h="1" x="2"/>
        <item h="1" x="1"/>
        <item h="1" x="4"/>
        <item t="default"/>
      </items>
    </pivotField>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7"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CAAE35-194B-43AE-BF56-01D3200B8D4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6">
    <pivotField showAll="0"/>
    <pivotField showAll="0"/>
    <pivotField dataField="1"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v="1"/>
    </i>
    <i>
      <x v="2"/>
    </i>
    <i>
      <x/>
    </i>
    <i t="grand">
      <x/>
    </i>
  </rowItems>
  <colItems count="1">
    <i/>
  </colItem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BDFB8444-6827-41F4-9CA0-38B057B371CC}" sourceName="EducationField">
  <pivotTables>
    <pivotTable tabId="7" name="RATING"/>
  </pivotTables>
  <data>
    <tabular pivotCacheId="66192170">
      <items count="6">
        <i x="0" s="1"/>
        <i x="2"/>
        <i x="1"/>
        <i x="4"/>
        <i x="5"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0C811BCA-1FC5-4151-A1A7-82F25CCF7B2A}" sourceName="Attrition">
  <pivotTables>
    <pivotTable tabId="2" name="attrition rate%"/>
  </pivotTables>
  <data>
    <tabular pivotCacheId="66192170">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2687650-5560-4D20-B1AA-23F1B3BE417F}" sourceName="Department">
  <pivotTables>
    <pivotTable tabId="2" name="attrition count"/>
    <pivotTable tabId="2" name="attrition by agegroup"/>
    <pivotTable tabId="2" name="attrition by department"/>
    <pivotTable tabId="2" name="attrition by educsational field"/>
    <pivotTable tabId="2" name="Attrition by gender"/>
    <pivotTable tabId="2" name="attrition by jobrole"/>
    <pivotTable tabId="2" name="attrition rate%"/>
    <pivotTable tabId="2" name="average of age"/>
    <pivotTable tabId="2" name="total employee"/>
    <pivotTable tabId="7" name="RATING"/>
    <pivotTable tabId="11" name="PivotTable18"/>
  </pivotTables>
  <data>
    <tabular pivotCacheId="66192170">
      <items count="3">
        <i x="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33E6962-CCC1-49CE-BE6E-6437A5C9DC23}" sourceName="Gender">
  <pivotTables>
    <pivotTable tabId="2" name="attrition count"/>
    <pivotTable tabId="2" name="attrition by agegroup"/>
    <pivotTable tabId="2" name="attrition by department"/>
    <pivotTable tabId="2" name="attrition by educsational field"/>
    <pivotTable tabId="2" name="Attrition by gender"/>
    <pivotTable tabId="2" name="attrition by jobrole"/>
    <pivotTable tabId="2" name="attrition rate%"/>
    <pivotTable tabId="2" name="average of age"/>
    <pivotTable tabId="2" name="total employee"/>
    <pivotTable tabId="7" name="RATING"/>
    <pivotTable tabId="11" name="PivotTable18"/>
  </pivotTables>
  <data>
    <tabular pivotCacheId="6619217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9AE63B9-0194-4492-B518-F240C0028EB9}" sourceName="Gender">
  <data>
    <tabular pivotCacheId="6619217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271C6DA8-AC27-472F-B05A-BE8ED4CA86F4}" cache="Slicer_Attrition" caption="Attrition" rowHeight="234950"/>
  <slicer name="Department" xr10:uid="{7FF0330C-F3B1-401B-AF05-963009CCB02F}" cache="Slicer_Department" caption="Department" rowHeight="234950"/>
  <slicer name="Gender 1" xr10:uid="{31E5270C-A26E-4055-ACDF-1BB8EC4DD003}"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52A2D14-AF64-4681-8EF4-7680A1E186D5}" cache="Slicer_Department" caption="Department" style="SlicerStyleDark6" rowHeight="234950"/>
  <slicer name="Gender 2" xr10:uid="{AA131467-F0C7-4477-B3FE-AB8869586583}" cache="Slicer_Gender1" caption="Gender" style="SlicerStyleDark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446E95CC-FACB-4BC0-B121-063162D0D1AA}" cache="Slicer_EducationField" caption="EducationField" rowHeight="234950"/>
  <slicer name="Gender" xr10:uid="{5F9B41C7-1E13-40B3-8311-0B2F7749C936}"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5071F0-9099-4E4A-AA7C-15366FEC6412}" name="Table1" displayName="Table1" ref="A1:AJ1471" totalsRowShown="0">
  <tableColumns count="36">
    <tableColumn id="1" xr3:uid="{6D4DD2EF-2D2D-413D-BCC2-6C29AF019AD5}" name="Age"/>
    <tableColumn id="37" xr3:uid="{BA32C7FE-B8C4-4481-B6EF-CF8B3719A006}" name="Age group">
      <calculatedColumnFormula>IF(A2&lt;=25,"18-25",IF(A2&lt;=35,"26-35",IF(A2&lt;=45,"36-45","46+")))</calculatedColumnFormula>
    </tableColumn>
    <tableColumn id="2" xr3:uid="{782110E3-A627-476E-9C26-378D39A5D7DA}" name="Attrition"/>
    <tableColumn id="3" xr3:uid="{F0F2591B-5E64-4D86-ABB8-239E8F297332}" name="BusinessTravel"/>
    <tableColumn id="4" xr3:uid="{9122FB5B-729C-446F-991C-5A6A091558B4}" name="DailyRate"/>
    <tableColumn id="5" xr3:uid="{1260E846-913D-4AD9-AC28-4D3F9BD1F755}" name="Department"/>
    <tableColumn id="6" xr3:uid="{77AB503B-4E5E-429C-8726-6CB6822596DD}" name="DistanceFromHome"/>
    <tableColumn id="7" xr3:uid="{82155E7B-707A-4257-ACB5-CB323BC66B19}" name="Education"/>
    <tableColumn id="8" xr3:uid="{73A38376-8C68-4C01-A51A-DF02AF5C1DED}" name="EducationField"/>
    <tableColumn id="9" xr3:uid="{6F1BFE3C-96C4-49B2-A4B3-F7974AEACD19}" name="EmployeeCount"/>
    <tableColumn id="10" xr3:uid="{BD4922E5-9FE5-400D-8794-4631FE4BFC17}" name="EmployeeNumber"/>
    <tableColumn id="11" xr3:uid="{EF6E85B8-A48A-4CFF-8005-77508186C36A}" name="EnvironmentSatisfaction"/>
    <tableColumn id="12" xr3:uid="{D95A2758-1FEB-49C2-B46C-E477C98A5EDB}" name="Gender"/>
    <tableColumn id="13" xr3:uid="{905CAAF5-FECB-4422-9594-C514C1A8060C}" name="HourlyRate"/>
    <tableColumn id="14" xr3:uid="{014FA8CB-7C2E-46A0-B609-44D175A262E6}" name="JobInvolvement"/>
    <tableColumn id="15" xr3:uid="{4F6A8FBB-E602-4656-B45E-2D21238E4E08}" name="JobLevel"/>
    <tableColumn id="16" xr3:uid="{AC6BD428-427C-4AE9-A056-7D2429DC7F23}" name="JobRole"/>
    <tableColumn id="17" xr3:uid="{9F3A353F-14B1-475C-9B60-53A84928A0B9}" name="JobSatisfaction"/>
    <tableColumn id="18" xr3:uid="{C722CB73-3A8F-47AA-B456-066802734DDB}" name="MaritalStatus"/>
    <tableColumn id="19" xr3:uid="{DE6B8AEF-689B-4A13-AA4C-088516F4B051}" name="MonthlyIncome"/>
    <tableColumn id="20" xr3:uid="{FB633DE8-491D-4645-BFEA-071AAC15CD63}" name="MonthlyRate"/>
    <tableColumn id="21" xr3:uid="{656EC27B-29BD-444B-9FDD-54C7C17A6AF9}" name="NumCompaniesWorked"/>
    <tableColumn id="22" xr3:uid="{E186E937-6ABF-4DB9-A63E-91E6C344F6D8}" name="Over18"/>
    <tableColumn id="23" xr3:uid="{6A09548A-83B7-4412-9910-DD77B0909E78}" name="OverTime"/>
    <tableColumn id="24" xr3:uid="{73EAC78A-180D-4FC3-AB44-9B090C43567A}" name="PercentSalaryHike"/>
    <tableColumn id="25" xr3:uid="{58556309-E9FE-40ED-A568-8CEF528489AA}" name="PerformanceRating"/>
    <tableColumn id="26" xr3:uid="{FE90F005-96D0-49DB-A662-3407A430F678}" name="RelationshipSatisfaction"/>
    <tableColumn id="27" xr3:uid="{03BEF1DD-B625-4D04-B27C-C4D8F1F53600}" name="StandardHours"/>
    <tableColumn id="28" xr3:uid="{7F4E2C49-B901-4ADF-95DF-AC1FAA721B1E}" name="StockOptionLevel"/>
    <tableColumn id="29" xr3:uid="{BEE3275D-B284-4EBB-AA4E-EFD4A5CCE029}" name="TotalWorkingYears"/>
    <tableColumn id="30" xr3:uid="{D1358AAA-801A-4F13-84FA-C4F410F351B6}" name="TrainingTimesLastYear"/>
    <tableColumn id="31" xr3:uid="{9F3F44FC-E05C-4EB0-80C5-C5E4FC7F2895}" name="WorkLifeBalance"/>
    <tableColumn id="32" xr3:uid="{B5D77212-3859-4749-83A5-7449C8B704BC}" name="YearsAtCompany"/>
    <tableColumn id="33" xr3:uid="{E0CE8E8A-53BF-4234-9F82-256F436D4DEC}" name="YearsInCurrentRole"/>
    <tableColumn id="34" xr3:uid="{887BEDA3-986D-40C3-9682-8EA397203693}" name="YearsSinceLastPromotion"/>
    <tableColumn id="35" xr3:uid="{7BAADBED-4289-4C44-A0F9-5F96A1B3B2A0}"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6D9FD-F6F5-4002-9720-1490F8D7D651}">
  <dimension ref="A1:M46"/>
  <sheetViews>
    <sheetView topLeftCell="A2" workbookViewId="0">
      <selection activeCell="L21" sqref="L21"/>
    </sheetView>
  </sheetViews>
  <sheetFormatPr defaultRowHeight="14.4" x14ac:dyDescent="0.3"/>
  <cols>
    <col min="1" max="1" width="23" bestFit="1" customWidth="1"/>
    <col min="2" max="2" width="24" bestFit="1" customWidth="1"/>
    <col min="3" max="5" width="24.33203125" bestFit="1" customWidth="1"/>
    <col min="6" max="6" width="15.21875" bestFit="1" customWidth="1"/>
    <col min="13" max="13" width="17" bestFit="1" customWidth="1"/>
    <col min="14" max="14" width="24.33203125" bestFit="1" customWidth="1"/>
  </cols>
  <sheetData>
    <row r="1" spans="1:5" x14ac:dyDescent="0.3">
      <c r="A1" t="s">
        <v>62</v>
      </c>
      <c r="C1" t="s">
        <v>75</v>
      </c>
    </row>
    <row r="2" spans="1:5" x14ac:dyDescent="0.3">
      <c r="A2" s="10">
        <v>961</v>
      </c>
      <c r="C2" s="10">
        <v>37.042663891779398</v>
      </c>
    </row>
    <row r="3" spans="1:5" x14ac:dyDescent="0.3">
      <c r="A3" t="s">
        <v>76</v>
      </c>
      <c r="B3" t="s">
        <v>77</v>
      </c>
      <c r="C3" t="s">
        <v>79</v>
      </c>
      <c r="D3" t="s">
        <v>78</v>
      </c>
    </row>
    <row r="4" spans="1:5" x14ac:dyDescent="0.3">
      <c r="A4">
        <f>A2</f>
        <v>961</v>
      </c>
      <c r="B4">
        <f>B10</f>
        <v>133</v>
      </c>
      <c r="C4" s="7">
        <f>C2</f>
        <v>37.042663891779398</v>
      </c>
      <c r="D4">
        <f>A4-B4</f>
        <v>828</v>
      </c>
    </row>
    <row r="6" spans="1:5" x14ac:dyDescent="0.3">
      <c r="C6" t="s">
        <v>80</v>
      </c>
    </row>
    <row r="7" spans="1:5" x14ac:dyDescent="0.3">
      <c r="C7" s="5">
        <f>B4/A4</f>
        <v>0.13839750260145681</v>
      </c>
    </row>
    <row r="8" spans="1:5" x14ac:dyDescent="0.3">
      <c r="A8" s="1" t="s">
        <v>66</v>
      </c>
    </row>
    <row r="9" spans="1:5" x14ac:dyDescent="0.3">
      <c r="A9" s="2" t="s">
        <v>63</v>
      </c>
      <c r="B9" t="s">
        <v>62</v>
      </c>
    </row>
    <row r="10" spans="1:5" x14ac:dyDescent="0.3">
      <c r="A10" s="3" t="s">
        <v>35</v>
      </c>
      <c r="B10" s="10">
        <v>133</v>
      </c>
    </row>
    <row r="11" spans="1:5" x14ac:dyDescent="0.3">
      <c r="A11" s="3" t="s">
        <v>64</v>
      </c>
      <c r="B11" s="10">
        <v>133</v>
      </c>
      <c r="D11" s="1" t="s">
        <v>68</v>
      </c>
    </row>
    <row r="12" spans="1:5" x14ac:dyDescent="0.3">
      <c r="D12" s="2" t="s">
        <v>1</v>
      </c>
      <c r="E12" t="s">
        <v>35</v>
      </c>
    </row>
    <row r="13" spans="1:5" x14ac:dyDescent="0.3">
      <c r="A13" s="1" t="s">
        <v>65</v>
      </c>
    </row>
    <row r="14" spans="1:5" x14ac:dyDescent="0.3">
      <c r="A14" s="2" t="s">
        <v>63</v>
      </c>
      <c r="B14" t="s">
        <v>62</v>
      </c>
      <c r="D14" s="2" t="s">
        <v>63</v>
      </c>
      <c r="E14" t="s">
        <v>62</v>
      </c>
    </row>
    <row r="15" spans="1:5" x14ac:dyDescent="0.3">
      <c r="A15" s="3" t="s">
        <v>35</v>
      </c>
      <c r="B15" s="4">
        <v>1</v>
      </c>
      <c r="D15" s="3" t="s">
        <v>39</v>
      </c>
      <c r="E15" s="10">
        <v>43</v>
      </c>
    </row>
    <row r="16" spans="1:5" x14ac:dyDescent="0.3">
      <c r="A16" s="3" t="s">
        <v>64</v>
      </c>
      <c r="B16" s="4">
        <v>1</v>
      </c>
      <c r="D16" s="3" t="s">
        <v>46</v>
      </c>
      <c r="E16" s="10">
        <v>90</v>
      </c>
    </row>
    <row r="17" spans="1:13" x14ac:dyDescent="0.3">
      <c r="D17" s="3" t="s">
        <v>64</v>
      </c>
      <c r="E17" s="10">
        <v>133</v>
      </c>
    </row>
    <row r="19" spans="1:13" x14ac:dyDescent="0.3">
      <c r="A19" s="1" t="s">
        <v>67</v>
      </c>
      <c r="D19" s="1" t="s">
        <v>69</v>
      </c>
    </row>
    <row r="20" spans="1:13" x14ac:dyDescent="0.3">
      <c r="A20" s="2" t="s">
        <v>1</v>
      </c>
      <c r="B20" t="s">
        <v>35</v>
      </c>
      <c r="D20" s="2" t="s">
        <v>1</v>
      </c>
      <c r="E20" t="s">
        <v>35</v>
      </c>
    </row>
    <row r="21" spans="1:13" x14ac:dyDescent="0.3">
      <c r="M21" s="1" t="s">
        <v>68</v>
      </c>
    </row>
    <row r="22" spans="1:13" x14ac:dyDescent="0.3">
      <c r="A22" s="2" t="s">
        <v>63</v>
      </c>
      <c r="B22" t="s">
        <v>62</v>
      </c>
      <c r="D22" s="2" t="s">
        <v>63</v>
      </c>
      <c r="E22" t="s">
        <v>62</v>
      </c>
    </row>
    <row r="23" spans="1:13" x14ac:dyDescent="0.3">
      <c r="A23" s="3" t="s">
        <v>45</v>
      </c>
      <c r="B23" s="4">
        <v>1</v>
      </c>
      <c r="D23" s="3" t="s">
        <v>74</v>
      </c>
      <c r="E23" s="10">
        <v>17</v>
      </c>
    </row>
    <row r="24" spans="1:13" x14ac:dyDescent="0.3">
      <c r="A24" s="3" t="s">
        <v>64</v>
      </c>
      <c r="B24" s="4">
        <v>1</v>
      </c>
      <c r="D24" s="3" t="s">
        <v>71</v>
      </c>
      <c r="E24" s="10">
        <v>24</v>
      </c>
    </row>
    <row r="25" spans="1:13" x14ac:dyDescent="0.3">
      <c r="D25" s="3" t="s">
        <v>73</v>
      </c>
      <c r="E25" s="10">
        <v>25</v>
      </c>
    </row>
    <row r="26" spans="1:13" x14ac:dyDescent="0.3">
      <c r="D26" s="3" t="s">
        <v>72</v>
      </c>
      <c r="E26" s="10">
        <v>67</v>
      </c>
    </row>
    <row r="27" spans="1:13" x14ac:dyDescent="0.3">
      <c r="D27" s="3" t="s">
        <v>64</v>
      </c>
      <c r="E27" s="10">
        <v>133</v>
      </c>
    </row>
    <row r="30" spans="1:13" x14ac:dyDescent="0.3">
      <c r="A30" s="2" t="s">
        <v>1</v>
      </c>
      <c r="B30" t="s">
        <v>35</v>
      </c>
    </row>
    <row r="31" spans="1:13" x14ac:dyDescent="0.3">
      <c r="D31" s="2" t="s">
        <v>1</v>
      </c>
      <c r="E31" t="s">
        <v>35</v>
      </c>
    </row>
    <row r="32" spans="1:13" x14ac:dyDescent="0.3">
      <c r="A32" s="2" t="s">
        <v>63</v>
      </c>
      <c r="B32" t="s">
        <v>62</v>
      </c>
    </row>
    <row r="33" spans="1:7" x14ac:dyDescent="0.3">
      <c r="A33" s="3" t="s">
        <v>58</v>
      </c>
      <c r="B33" s="10">
        <v>2</v>
      </c>
      <c r="D33" s="2" t="s">
        <v>63</v>
      </c>
      <c r="E33" t="s">
        <v>84</v>
      </c>
    </row>
    <row r="34" spans="1:7" x14ac:dyDescent="0.3">
      <c r="A34" s="3" t="s">
        <v>56</v>
      </c>
      <c r="B34" s="10">
        <v>3</v>
      </c>
      <c r="D34" s="3" t="s">
        <v>49</v>
      </c>
      <c r="E34" s="10">
        <v>7</v>
      </c>
    </row>
    <row r="35" spans="1:7" x14ac:dyDescent="0.3">
      <c r="A35" s="3" t="s">
        <v>54</v>
      </c>
      <c r="B35" s="10">
        <v>9</v>
      </c>
      <c r="D35" s="3" t="s">
        <v>60</v>
      </c>
      <c r="E35" s="10">
        <v>20</v>
      </c>
    </row>
    <row r="36" spans="1:7" x14ac:dyDescent="0.3">
      <c r="A36" s="3" t="s">
        <v>53</v>
      </c>
      <c r="B36" s="10">
        <v>10</v>
      </c>
      <c r="D36" s="3" t="s">
        <v>51</v>
      </c>
      <c r="E36" s="10">
        <v>47</v>
      </c>
    </row>
    <row r="37" spans="1:7" x14ac:dyDescent="0.3">
      <c r="A37" s="3" t="s">
        <v>47</v>
      </c>
      <c r="B37" s="10">
        <v>47</v>
      </c>
      <c r="D37" s="3" t="s">
        <v>38</v>
      </c>
      <c r="E37" s="10">
        <v>59</v>
      </c>
    </row>
    <row r="38" spans="1:7" x14ac:dyDescent="0.3">
      <c r="A38" s="3" t="s">
        <v>50</v>
      </c>
      <c r="B38" s="10">
        <v>62</v>
      </c>
      <c r="D38" s="3" t="s">
        <v>64</v>
      </c>
      <c r="E38" s="10">
        <v>133</v>
      </c>
    </row>
    <row r="39" spans="1:7" x14ac:dyDescent="0.3">
      <c r="A39" s="3" t="s">
        <v>64</v>
      </c>
      <c r="B39" s="10">
        <v>133</v>
      </c>
    </row>
    <row r="45" spans="1:7" x14ac:dyDescent="0.3">
      <c r="G45" t="s">
        <v>1</v>
      </c>
    </row>
    <row r="46" spans="1:7" x14ac:dyDescent="0.3">
      <c r="G46" t="e">
        <f>GETPIVOTDATA("Attrition",$D$45,"Marital Status",D46)</f>
        <v>#REF!</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51BB-3006-4C68-A411-0A74F5C25ED2}">
  <dimension ref="A1:Z31"/>
  <sheetViews>
    <sheetView showGridLines="0" zoomScale="84" zoomScaleNormal="84" workbookViewId="0">
      <selection activeCell="T13" sqref="T13"/>
    </sheetView>
  </sheetViews>
  <sheetFormatPr defaultRowHeight="14.4" x14ac:dyDescent="0.3"/>
  <sheetData>
    <row r="1" spans="1:26" x14ac:dyDescent="0.3">
      <c r="A1" s="8"/>
      <c r="B1" s="8"/>
      <c r="C1" s="8"/>
      <c r="D1" s="8"/>
      <c r="E1" s="8"/>
      <c r="F1" s="8"/>
      <c r="G1" s="8"/>
      <c r="H1" s="8"/>
      <c r="I1" s="8"/>
      <c r="J1" s="8"/>
      <c r="K1" s="8"/>
      <c r="L1" s="8"/>
      <c r="M1" s="8"/>
      <c r="N1" s="8"/>
      <c r="O1" s="8"/>
      <c r="P1" s="8"/>
      <c r="Q1" s="8"/>
      <c r="R1" s="8"/>
      <c r="S1" s="9"/>
      <c r="T1" s="9"/>
      <c r="U1" s="9"/>
      <c r="V1" s="9"/>
      <c r="W1" s="9"/>
      <c r="X1" s="9"/>
      <c r="Y1" s="9"/>
      <c r="Z1" s="9"/>
    </row>
    <row r="2" spans="1:26" x14ac:dyDescent="0.3">
      <c r="A2" s="8"/>
      <c r="B2" s="8"/>
      <c r="C2" s="8"/>
      <c r="D2" s="8"/>
      <c r="E2" s="8"/>
      <c r="F2" s="8"/>
      <c r="G2" s="8"/>
      <c r="H2" s="8"/>
      <c r="I2" s="8"/>
      <c r="J2" s="8"/>
      <c r="K2" s="8"/>
      <c r="L2" s="8"/>
      <c r="M2" s="8"/>
      <c r="N2" s="8"/>
      <c r="O2" s="8"/>
      <c r="P2" s="8"/>
      <c r="Q2" s="8"/>
      <c r="R2" s="8"/>
      <c r="S2" s="9"/>
      <c r="T2" s="9"/>
      <c r="U2" s="9"/>
      <c r="V2" s="9"/>
      <c r="W2" s="9"/>
      <c r="X2" s="9"/>
      <c r="Y2" s="9"/>
      <c r="Z2" s="9"/>
    </row>
    <row r="3" spans="1:26" x14ac:dyDescent="0.3">
      <c r="A3" s="8"/>
      <c r="B3" s="8"/>
      <c r="C3" s="8"/>
      <c r="D3" s="8"/>
      <c r="E3" s="8"/>
      <c r="F3" s="8"/>
      <c r="G3" s="8"/>
      <c r="H3" s="8"/>
      <c r="I3" s="8"/>
      <c r="J3" s="8"/>
      <c r="K3" s="8"/>
      <c r="L3" s="8"/>
      <c r="M3" s="8"/>
      <c r="N3" s="8"/>
      <c r="O3" s="8"/>
      <c r="P3" s="8"/>
      <c r="Q3" s="8"/>
      <c r="R3" s="8"/>
      <c r="S3" s="9"/>
      <c r="T3" s="9"/>
      <c r="U3" s="9"/>
      <c r="V3" s="9"/>
      <c r="W3" s="9"/>
      <c r="X3" s="9"/>
      <c r="Y3" s="9"/>
      <c r="Z3" s="9"/>
    </row>
    <row r="4" spans="1:26" x14ac:dyDescent="0.3">
      <c r="A4" s="8"/>
      <c r="B4" s="8"/>
      <c r="C4" s="8"/>
      <c r="D4" s="8"/>
      <c r="E4" s="8"/>
      <c r="F4" s="8"/>
      <c r="G4" s="8"/>
      <c r="H4" s="8"/>
      <c r="I4" s="8"/>
      <c r="J4" s="8"/>
      <c r="K4" s="8"/>
      <c r="L4" s="8"/>
      <c r="M4" s="8"/>
      <c r="N4" s="8"/>
      <c r="O4" s="8"/>
      <c r="P4" s="8"/>
      <c r="Q4" s="8"/>
      <c r="R4" s="8"/>
      <c r="S4" s="9"/>
      <c r="T4" s="9"/>
      <c r="U4" s="9"/>
      <c r="V4" s="9"/>
      <c r="W4" s="9"/>
      <c r="X4" s="9"/>
      <c r="Y4" s="9"/>
      <c r="Z4" s="9"/>
    </row>
    <row r="5" spans="1:26" x14ac:dyDescent="0.3">
      <c r="A5" s="8"/>
      <c r="B5" s="8"/>
      <c r="C5" s="8"/>
      <c r="D5" s="8"/>
      <c r="E5" s="8"/>
      <c r="F5" s="8"/>
      <c r="G5" s="8"/>
      <c r="H5" s="8"/>
      <c r="I5" s="8"/>
      <c r="J5" s="8"/>
      <c r="K5" s="8"/>
      <c r="L5" s="8"/>
      <c r="M5" s="8"/>
      <c r="N5" s="8"/>
      <c r="O5" s="8"/>
      <c r="P5" s="8"/>
      <c r="Q5" s="8"/>
      <c r="R5" s="8"/>
      <c r="S5" s="9"/>
      <c r="T5" s="9"/>
      <c r="U5" s="9"/>
      <c r="V5" s="9"/>
      <c r="W5" s="9"/>
      <c r="X5" s="9"/>
      <c r="Y5" s="9"/>
      <c r="Z5" s="9"/>
    </row>
    <row r="6" spans="1:26" x14ac:dyDescent="0.3">
      <c r="A6" s="8"/>
      <c r="B6" s="8"/>
      <c r="C6" s="8"/>
      <c r="D6" s="8"/>
      <c r="E6" s="8"/>
      <c r="F6" s="8"/>
      <c r="G6" s="8"/>
      <c r="H6" s="8"/>
      <c r="I6" s="8"/>
      <c r="J6" s="8"/>
      <c r="K6" s="8"/>
      <c r="L6" s="8"/>
      <c r="M6" s="8"/>
      <c r="N6" s="8"/>
      <c r="O6" s="8"/>
      <c r="P6" s="8"/>
      <c r="Q6" s="8"/>
      <c r="R6" s="8"/>
      <c r="S6" s="9"/>
      <c r="T6" s="9"/>
      <c r="U6" s="9"/>
      <c r="V6" s="9"/>
      <c r="W6" s="9"/>
      <c r="X6" s="9"/>
      <c r="Y6" s="9"/>
      <c r="Z6" s="9"/>
    </row>
    <row r="7" spans="1:26" x14ac:dyDescent="0.3">
      <c r="A7" s="8"/>
      <c r="B7" s="8"/>
      <c r="C7" s="8"/>
      <c r="D7" s="8"/>
      <c r="E7" s="8"/>
      <c r="F7" s="8"/>
      <c r="G7" s="8"/>
      <c r="H7" s="8"/>
      <c r="I7" s="8"/>
      <c r="J7" s="8"/>
      <c r="K7" s="8"/>
      <c r="L7" s="8"/>
      <c r="M7" s="8"/>
      <c r="N7" s="8"/>
      <c r="O7" s="8"/>
      <c r="P7" s="8"/>
      <c r="Q7" s="8"/>
      <c r="R7" s="8"/>
      <c r="S7" s="9"/>
      <c r="U7" s="9"/>
      <c r="V7" s="9"/>
      <c r="W7" s="9"/>
      <c r="X7" s="9"/>
      <c r="Y7" s="9"/>
      <c r="Z7" s="9"/>
    </row>
    <row r="8" spans="1:26" x14ac:dyDescent="0.3">
      <c r="A8" s="8"/>
      <c r="B8" s="8"/>
      <c r="C8" s="8"/>
      <c r="D8" s="8"/>
      <c r="E8" s="8"/>
      <c r="F8" s="8"/>
      <c r="G8" s="8"/>
      <c r="H8" s="8"/>
      <c r="I8" s="8"/>
      <c r="J8" s="8"/>
      <c r="K8" s="8"/>
      <c r="L8" s="8"/>
      <c r="M8" s="8"/>
      <c r="N8" s="8"/>
      <c r="O8" s="8"/>
      <c r="P8" s="8"/>
      <c r="Q8" s="8"/>
      <c r="R8" s="8"/>
      <c r="S8" s="9"/>
      <c r="T8" s="9"/>
      <c r="U8" s="9"/>
      <c r="V8" s="9"/>
      <c r="W8" s="9"/>
      <c r="X8" s="9"/>
      <c r="Y8" s="9"/>
      <c r="Z8" s="9"/>
    </row>
    <row r="9" spans="1:26" x14ac:dyDescent="0.3">
      <c r="A9" s="8"/>
      <c r="B9" s="8"/>
      <c r="C9" s="8"/>
      <c r="D9" s="8"/>
      <c r="E9" s="8"/>
      <c r="F9" s="8"/>
      <c r="G9" s="8"/>
      <c r="H9" s="8"/>
      <c r="I9" s="8"/>
      <c r="J9" s="8"/>
      <c r="K9" s="8"/>
      <c r="L9" s="8"/>
      <c r="M9" s="8"/>
      <c r="N9" s="8"/>
      <c r="O9" s="8"/>
      <c r="P9" s="8"/>
      <c r="Q9" s="8"/>
      <c r="R9" s="8"/>
      <c r="S9" s="9"/>
      <c r="T9" s="9"/>
      <c r="U9" s="9"/>
      <c r="V9" s="9"/>
      <c r="W9" s="9"/>
      <c r="X9" s="9"/>
      <c r="Y9" s="9"/>
      <c r="Z9" s="9"/>
    </row>
    <row r="10" spans="1:26" x14ac:dyDescent="0.3">
      <c r="A10" s="8"/>
      <c r="B10" s="8"/>
      <c r="C10" s="8"/>
      <c r="D10" s="8"/>
      <c r="E10" s="8"/>
      <c r="F10" s="8"/>
      <c r="G10" s="8"/>
      <c r="H10" s="8"/>
      <c r="I10" s="8"/>
      <c r="J10" s="8"/>
      <c r="K10" s="8"/>
      <c r="L10" s="8"/>
      <c r="M10" s="8"/>
      <c r="N10" s="8"/>
      <c r="O10" s="8"/>
      <c r="P10" s="8"/>
      <c r="Q10" s="8"/>
      <c r="R10" s="8"/>
      <c r="S10" s="9"/>
      <c r="T10" s="9"/>
      <c r="U10" s="9"/>
      <c r="V10" s="9"/>
      <c r="W10" s="9"/>
      <c r="X10" s="9"/>
      <c r="Y10" s="9"/>
      <c r="Z10" s="9"/>
    </row>
    <row r="11" spans="1:26" x14ac:dyDescent="0.3">
      <c r="A11" s="8"/>
      <c r="B11" s="8"/>
      <c r="C11" s="8"/>
      <c r="D11" s="8"/>
      <c r="E11" s="8"/>
      <c r="F11" s="8"/>
      <c r="G11" s="8"/>
      <c r="H11" s="8"/>
      <c r="I11" s="8"/>
      <c r="J11" s="8"/>
      <c r="K11" s="8"/>
      <c r="L11" s="8"/>
      <c r="M11" s="8"/>
      <c r="N11" s="8"/>
      <c r="O11" s="8"/>
      <c r="P11" s="8"/>
      <c r="Q11" s="8"/>
      <c r="R11" s="8"/>
      <c r="S11" s="9"/>
      <c r="T11" s="9"/>
      <c r="U11" s="9"/>
      <c r="V11" s="9"/>
      <c r="W11" s="9"/>
      <c r="X11" s="9"/>
      <c r="Y11" s="9"/>
      <c r="Z11" s="9"/>
    </row>
    <row r="12" spans="1:26" x14ac:dyDescent="0.3">
      <c r="A12" s="8"/>
      <c r="B12" s="8"/>
      <c r="C12" s="8"/>
      <c r="D12" s="8"/>
      <c r="E12" s="8"/>
      <c r="F12" s="8"/>
      <c r="G12" s="8"/>
      <c r="H12" s="8"/>
      <c r="I12" s="8"/>
      <c r="J12" s="8"/>
      <c r="K12" s="8"/>
      <c r="L12" s="8"/>
      <c r="M12" s="8"/>
      <c r="N12" s="8"/>
      <c r="O12" s="8"/>
      <c r="P12" s="8"/>
      <c r="Q12" s="8"/>
      <c r="R12" s="8"/>
      <c r="S12" s="9"/>
      <c r="T12" s="9"/>
      <c r="W12" s="9"/>
      <c r="X12" s="9"/>
      <c r="Y12" s="9"/>
      <c r="Z12" s="9"/>
    </row>
    <row r="13" spans="1:26" x14ac:dyDescent="0.3">
      <c r="A13" s="8"/>
      <c r="B13" s="8"/>
      <c r="C13" s="8"/>
      <c r="D13" s="8"/>
      <c r="E13" s="8"/>
      <c r="F13" s="8"/>
      <c r="G13" s="8"/>
      <c r="H13" s="8"/>
      <c r="I13" s="8"/>
      <c r="J13" s="8"/>
      <c r="K13" s="8"/>
      <c r="L13" s="8"/>
      <c r="M13" s="8"/>
      <c r="N13" s="8"/>
      <c r="O13" s="8"/>
      <c r="P13" s="8"/>
      <c r="Q13" s="8"/>
      <c r="R13" s="8"/>
      <c r="S13" s="9"/>
      <c r="T13" s="9"/>
      <c r="U13" s="9"/>
      <c r="V13" s="9"/>
      <c r="W13" s="9"/>
      <c r="X13" s="9"/>
      <c r="Y13" s="9"/>
      <c r="Z13" s="9"/>
    </row>
    <row r="14" spans="1:26" x14ac:dyDescent="0.3">
      <c r="A14" s="8"/>
      <c r="B14" s="8"/>
      <c r="C14" s="8"/>
      <c r="D14" s="8"/>
      <c r="E14" s="8"/>
      <c r="F14" s="8"/>
      <c r="G14" s="8"/>
      <c r="H14" s="8"/>
      <c r="I14" s="8"/>
      <c r="J14" s="8"/>
      <c r="K14" s="8"/>
      <c r="L14" s="8"/>
      <c r="M14" s="8"/>
      <c r="N14" s="8"/>
      <c r="O14" s="8"/>
      <c r="P14" s="8"/>
      <c r="Q14" s="8"/>
      <c r="R14" s="8"/>
      <c r="S14" s="9"/>
      <c r="T14" s="9"/>
      <c r="U14" s="9"/>
      <c r="V14" s="9"/>
      <c r="W14" s="9"/>
      <c r="X14" s="9"/>
      <c r="Y14" s="9"/>
      <c r="Z14" s="9"/>
    </row>
    <row r="15" spans="1:26" x14ac:dyDescent="0.3">
      <c r="A15" s="8"/>
      <c r="B15" s="8"/>
      <c r="C15" s="8"/>
      <c r="D15" s="8"/>
      <c r="E15" s="8"/>
      <c r="F15" s="8"/>
      <c r="G15" s="8"/>
      <c r="H15" s="8"/>
      <c r="I15" s="8"/>
      <c r="J15" s="8"/>
      <c r="K15" s="8"/>
      <c r="L15" s="8"/>
      <c r="M15" s="8"/>
      <c r="N15" s="8"/>
      <c r="O15" s="8"/>
      <c r="P15" s="8"/>
      <c r="Q15" s="8"/>
      <c r="R15" s="8"/>
      <c r="S15" s="9"/>
      <c r="T15" s="9"/>
      <c r="U15" s="9"/>
      <c r="V15" s="9"/>
      <c r="W15" s="9"/>
      <c r="X15" s="9"/>
      <c r="Y15" s="9"/>
      <c r="Z15" s="9"/>
    </row>
    <row r="16" spans="1:26" x14ac:dyDescent="0.3">
      <c r="A16" s="8"/>
      <c r="B16" s="8"/>
      <c r="C16" s="8"/>
      <c r="D16" s="8"/>
      <c r="E16" s="8"/>
      <c r="F16" s="8"/>
      <c r="G16" s="8"/>
      <c r="H16" s="8"/>
      <c r="I16" s="8"/>
      <c r="J16" s="8"/>
      <c r="K16" s="8"/>
      <c r="L16" s="8"/>
      <c r="M16" s="8"/>
      <c r="N16" s="8"/>
      <c r="O16" s="8"/>
      <c r="P16" s="8"/>
      <c r="Q16" s="8"/>
      <c r="R16" s="8"/>
      <c r="T16" s="9"/>
      <c r="U16" s="9"/>
      <c r="V16" s="9"/>
      <c r="W16" s="9"/>
      <c r="X16" s="9"/>
      <c r="Y16" s="9"/>
      <c r="Z16" s="9"/>
    </row>
    <row r="17" spans="1:26" x14ac:dyDescent="0.3">
      <c r="A17" s="8"/>
      <c r="B17" s="8"/>
      <c r="C17" s="8"/>
      <c r="D17" s="8"/>
      <c r="E17" s="8"/>
      <c r="F17" s="8"/>
      <c r="G17" s="8"/>
      <c r="H17" s="8"/>
      <c r="I17" s="8"/>
      <c r="J17" s="8"/>
      <c r="K17" s="8"/>
      <c r="L17" s="8"/>
      <c r="M17" s="8"/>
      <c r="N17" s="8"/>
      <c r="O17" s="8"/>
      <c r="P17" s="8"/>
      <c r="Q17" s="8"/>
      <c r="R17" s="8"/>
      <c r="S17" s="9"/>
      <c r="T17" s="9"/>
      <c r="U17" s="9"/>
      <c r="V17" s="9"/>
      <c r="W17" s="9"/>
      <c r="X17" s="9"/>
      <c r="Y17" s="9"/>
      <c r="Z17" s="9"/>
    </row>
    <row r="18" spans="1:26" x14ac:dyDescent="0.3">
      <c r="A18" s="8"/>
      <c r="B18" s="8"/>
      <c r="C18" s="8"/>
      <c r="D18" s="8"/>
      <c r="E18" s="8"/>
      <c r="F18" s="8"/>
      <c r="G18" s="8"/>
      <c r="H18" s="8"/>
      <c r="I18" s="8"/>
      <c r="J18" s="8"/>
      <c r="K18" s="8"/>
      <c r="L18" s="8"/>
      <c r="M18" s="8"/>
      <c r="N18" s="8"/>
      <c r="O18" s="8"/>
      <c r="P18" s="8"/>
      <c r="Q18" s="8"/>
      <c r="R18" s="8"/>
      <c r="S18" s="9"/>
      <c r="T18" s="9"/>
      <c r="U18" s="9"/>
      <c r="V18" s="9"/>
      <c r="W18" s="9"/>
      <c r="X18" s="9"/>
      <c r="Y18" s="9"/>
      <c r="Z18" s="9"/>
    </row>
    <row r="19" spans="1:26" x14ac:dyDescent="0.3">
      <c r="A19" s="8"/>
      <c r="B19" s="8"/>
      <c r="C19" s="8"/>
      <c r="D19" s="8"/>
      <c r="E19" s="8"/>
      <c r="F19" s="8"/>
      <c r="G19" s="8"/>
      <c r="H19" s="8"/>
      <c r="I19" s="8"/>
      <c r="J19" s="8"/>
      <c r="K19" s="8"/>
      <c r="L19" s="8"/>
      <c r="M19" s="8"/>
      <c r="N19" s="8"/>
      <c r="O19" s="8"/>
      <c r="P19" s="8"/>
      <c r="Q19" s="8"/>
      <c r="R19" s="8"/>
      <c r="S19" s="9"/>
      <c r="T19" s="9"/>
      <c r="U19" s="9"/>
      <c r="V19" s="9"/>
      <c r="W19" s="9"/>
      <c r="X19" s="9"/>
      <c r="Y19" s="9"/>
      <c r="Z19" s="9"/>
    </row>
    <row r="20" spans="1:26" x14ac:dyDescent="0.3">
      <c r="A20" s="8"/>
      <c r="B20" s="8"/>
      <c r="C20" s="8"/>
      <c r="D20" s="8"/>
      <c r="E20" s="8"/>
      <c r="F20" s="8"/>
      <c r="G20" s="8"/>
      <c r="H20" s="8"/>
      <c r="I20" s="8"/>
      <c r="J20" s="8"/>
      <c r="K20" s="8"/>
      <c r="L20" s="8"/>
      <c r="M20" s="8"/>
      <c r="N20" s="8"/>
      <c r="O20" s="8"/>
      <c r="P20" s="8"/>
      <c r="Q20" s="8"/>
      <c r="R20" s="8"/>
      <c r="S20" s="9"/>
      <c r="T20" s="9"/>
      <c r="U20" s="9"/>
      <c r="V20" s="9"/>
      <c r="W20" s="9"/>
      <c r="X20" s="9"/>
      <c r="Y20" s="9"/>
      <c r="Z20" s="9"/>
    </row>
    <row r="21" spans="1:26" x14ac:dyDescent="0.3">
      <c r="A21" s="8"/>
      <c r="B21" s="8"/>
      <c r="C21" s="8"/>
      <c r="D21" s="8"/>
      <c r="E21" s="8"/>
      <c r="F21" s="8"/>
      <c r="G21" s="8"/>
      <c r="H21" s="8"/>
      <c r="I21" s="8"/>
      <c r="J21" s="8"/>
      <c r="K21" s="8"/>
      <c r="L21" s="8"/>
      <c r="M21" s="8"/>
      <c r="N21" s="8"/>
      <c r="O21" s="8"/>
      <c r="P21" s="8"/>
      <c r="Q21" s="8"/>
      <c r="R21" s="8"/>
      <c r="S21" s="9"/>
      <c r="T21" s="9"/>
      <c r="U21" s="9"/>
      <c r="V21" s="9"/>
      <c r="W21" s="9"/>
      <c r="X21" s="9"/>
      <c r="Y21" s="9"/>
      <c r="Z21" s="9"/>
    </row>
    <row r="22" spans="1:26" x14ac:dyDescent="0.3">
      <c r="A22" s="8"/>
      <c r="B22" s="8"/>
      <c r="C22" s="8"/>
      <c r="D22" s="8"/>
      <c r="E22" s="8"/>
      <c r="F22" s="8"/>
      <c r="G22" s="8"/>
      <c r="H22" s="8"/>
      <c r="I22" s="8"/>
      <c r="J22" s="8"/>
      <c r="K22" s="8"/>
      <c r="L22" s="8"/>
      <c r="M22" s="8"/>
      <c r="N22" s="8"/>
      <c r="O22" s="8"/>
      <c r="P22" s="8"/>
      <c r="Q22" s="8"/>
      <c r="R22" s="8"/>
      <c r="S22" s="9"/>
      <c r="T22" s="9"/>
      <c r="U22" s="9"/>
      <c r="V22" s="9"/>
      <c r="W22" s="9"/>
      <c r="X22" s="9"/>
      <c r="Y22" s="9"/>
      <c r="Z22" s="9"/>
    </row>
    <row r="23" spans="1:26" x14ac:dyDescent="0.3">
      <c r="A23" s="8"/>
      <c r="B23" s="8"/>
      <c r="C23" s="8"/>
      <c r="D23" s="8"/>
      <c r="E23" s="8"/>
      <c r="F23" s="8"/>
      <c r="G23" s="8"/>
      <c r="H23" s="8"/>
      <c r="I23" s="8"/>
      <c r="J23" s="8"/>
      <c r="K23" s="8"/>
      <c r="L23" s="8"/>
      <c r="M23" s="8"/>
      <c r="N23" s="8"/>
      <c r="O23" s="8"/>
      <c r="P23" s="8"/>
      <c r="Q23" s="8"/>
      <c r="R23" s="8"/>
      <c r="S23" s="9"/>
      <c r="T23" s="9"/>
      <c r="U23" s="9"/>
      <c r="V23" s="9"/>
      <c r="W23" s="9"/>
      <c r="X23" s="9"/>
      <c r="Y23" s="9"/>
      <c r="Z23" s="9"/>
    </row>
    <row r="24" spans="1:26" x14ac:dyDescent="0.3">
      <c r="A24" s="8"/>
      <c r="B24" s="8"/>
      <c r="C24" s="8"/>
      <c r="D24" s="8"/>
      <c r="E24" s="8"/>
      <c r="F24" s="8"/>
      <c r="G24" s="8"/>
      <c r="H24" s="8"/>
      <c r="I24" s="8"/>
      <c r="J24" s="8"/>
      <c r="K24" s="8"/>
      <c r="L24" s="8"/>
      <c r="M24" s="8"/>
      <c r="N24" s="8"/>
      <c r="O24" s="8"/>
      <c r="P24" s="8"/>
      <c r="Q24" s="8"/>
      <c r="R24" s="8"/>
      <c r="S24" s="9"/>
      <c r="T24" s="9"/>
      <c r="U24" s="9"/>
      <c r="V24" s="9"/>
      <c r="W24" s="9"/>
      <c r="X24" s="9"/>
      <c r="Y24" s="9"/>
      <c r="Z24" s="9"/>
    </row>
    <row r="25" spans="1:26" x14ac:dyDescent="0.3">
      <c r="A25" s="8"/>
      <c r="B25" s="8"/>
      <c r="C25" s="8"/>
      <c r="D25" s="8"/>
      <c r="E25" s="8"/>
      <c r="F25" s="8"/>
      <c r="G25" s="8"/>
      <c r="H25" s="8"/>
      <c r="I25" s="8"/>
      <c r="J25" s="8"/>
      <c r="K25" s="8"/>
      <c r="L25" s="8"/>
      <c r="M25" s="8"/>
      <c r="N25" s="8"/>
      <c r="O25" s="8"/>
      <c r="P25" s="8"/>
      <c r="Q25" s="8"/>
      <c r="R25" s="8"/>
      <c r="S25" s="9"/>
      <c r="T25" s="9"/>
      <c r="U25" s="9"/>
      <c r="V25" s="9"/>
      <c r="W25" s="9"/>
      <c r="X25" s="9"/>
      <c r="Y25" s="9"/>
      <c r="Z25" s="9"/>
    </row>
    <row r="26" spans="1:26" x14ac:dyDescent="0.3">
      <c r="A26" s="8"/>
      <c r="B26" s="8"/>
      <c r="C26" s="8"/>
      <c r="D26" s="8"/>
      <c r="E26" s="8"/>
      <c r="F26" s="8"/>
      <c r="G26" s="8"/>
      <c r="H26" s="8"/>
      <c r="I26" s="8"/>
      <c r="J26" s="8"/>
      <c r="K26" s="8"/>
      <c r="L26" s="8"/>
      <c r="M26" s="8"/>
      <c r="N26" s="8"/>
      <c r="O26" s="8"/>
      <c r="P26" s="8"/>
      <c r="Q26" s="8"/>
      <c r="R26" s="8"/>
      <c r="S26" s="9"/>
      <c r="T26" s="9"/>
      <c r="U26" s="9"/>
      <c r="V26" s="9"/>
      <c r="W26" s="9"/>
      <c r="X26" s="9"/>
      <c r="Y26" s="9"/>
      <c r="Z26" s="9"/>
    </row>
    <row r="27" spans="1:26" x14ac:dyDescent="0.3">
      <c r="A27" s="8"/>
      <c r="B27" s="8"/>
      <c r="C27" s="8"/>
      <c r="D27" s="8"/>
      <c r="E27" s="8"/>
      <c r="F27" s="8"/>
      <c r="G27" s="8"/>
      <c r="H27" s="8"/>
      <c r="I27" s="8"/>
      <c r="J27" s="8"/>
      <c r="K27" s="8"/>
      <c r="L27" s="8"/>
      <c r="M27" s="8"/>
      <c r="N27" s="8"/>
      <c r="O27" s="8"/>
      <c r="P27" s="8"/>
      <c r="Q27" s="8"/>
      <c r="R27" s="8"/>
      <c r="S27" s="9"/>
      <c r="T27" s="9"/>
      <c r="U27" s="9"/>
      <c r="V27" s="9"/>
      <c r="W27" s="9"/>
      <c r="X27" s="9"/>
      <c r="Y27" s="9"/>
      <c r="Z27" s="9"/>
    </row>
    <row r="28" spans="1:26" x14ac:dyDescent="0.3">
      <c r="A28" s="8"/>
      <c r="B28" s="8"/>
      <c r="C28" s="8"/>
      <c r="D28" s="8"/>
      <c r="E28" s="8"/>
      <c r="F28" s="8"/>
      <c r="G28" s="8"/>
      <c r="H28" s="8"/>
      <c r="I28" s="8"/>
      <c r="J28" s="8"/>
      <c r="K28" s="8"/>
      <c r="L28" s="8"/>
      <c r="M28" s="8"/>
      <c r="N28" s="8"/>
      <c r="O28" s="8"/>
      <c r="P28" s="8"/>
      <c r="Q28" s="8"/>
      <c r="R28" s="8"/>
      <c r="S28" s="9"/>
      <c r="T28" s="9"/>
      <c r="U28" s="9"/>
      <c r="V28" s="9"/>
      <c r="W28" s="9"/>
      <c r="X28" s="9"/>
      <c r="Y28" s="9"/>
      <c r="Z28" s="9"/>
    </row>
    <row r="29" spans="1:26" x14ac:dyDescent="0.3">
      <c r="A29" s="8"/>
      <c r="B29" s="8"/>
      <c r="C29" s="8"/>
      <c r="D29" s="8"/>
      <c r="E29" s="8"/>
      <c r="F29" s="8"/>
      <c r="G29" s="8"/>
      <c r="H29" s="8"/>
      <c r="I29" s="8"/>
      <c r="J29" s="8"/>
      <c r="K29" s="8"/>
      <c r="L29" s="8"/>
      <c r="M29" s="8"/>
      <c r="N29" s="8"/>
      <c r="O29" s="8"/>
      <c r="P29" s="8"/>
      <c r="Q29" s="8"/>
      <c r="R29" s="8"/>
      <c r="S29" s="9"/>
      <c r="T29" s="9"/>
      <c r="U29" s="9"/>
      <c r="V29" s="9"/>
      <c r="W29" s="9"/>
      <c r="X29" s="9"/>
      <c r="Y29" s="9"/>
      <c r="Z29" s="9"/>
    </row>
    <row r="30" spans="1:26" x14ac:dyDescent="0.3">
      <c r="A30" s="8"/>
      <c r="B30" s="8"/>
      <c r="C30" s="8"/>
      <c r="D30" s="8"/>
      <c r="E30" s="8"/>
      <c r="F30" s="8"/>
      <c r="G30" s="8"/>
      <c r="H30" s="8"/>
      <c r="I30" s="8"/>
      <c r="J30" s="8"/>
      <c r="K30" s="8"/>
      <c r="L30" s="8"/>
      <c r="M30" s="8"/>
      <c r="N30" s="8"/>
      <c r="O30" s="8"/>
      <c r="P30" s="8"/>
      <c r="Q30" s="8"/>
      <c r="R30" s="8"/>
      <c r="S30" s="9"/>
      <c r="T30" s="9"/>
      <c r="U30" s="9"/>
      <c r="V30" s="9"/>
      <c r="W30" s="9"/>
      <c r="X30" s="9"/>
      <c r="Y30" s="9"/>
      <c r="Z30" s="9"/>
    </row>
    <row r="31" spans="1:26" x14ac:dyDescent="0.3">
      <c r="A31" s="8"/>
      <c r="B31" s="8"/>
      <c r="C31" s="8"/>
      <c r="D31" s="8"/>
      <c r="E31" s="8"/>
      <c r="F31" s="8"/>
      <c r="G31" s="8"/>
      <c r="H31" s="8"/>
      <c r="I31" s="8"/>
      <c r="J31" s="8"/>
      <c r="K31" s="8"/>
      <c r="L31" s="8"/>
      <c r="M31" s="8"/>
      <c r="N31" s="8"/>
      <c r="O31" s="8"/>
      <c r="P31" s="8"/>
      <c r="Q31" s="8"/>
      <c r="R3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968BF-C14D-4189-80FE-EBF34A25BC5A}">
  <dimension ref="A3:C7"/>
  <sheetViews>
    <sheetView workbookViewId="0">
      <selection activeCell="E24" sqref="E24"/>
    </sheetView>
  </sheetViews>
  <sheetFormatPr defaultRowHeight="14.4" x14ac:dyDescent="0.3"/>
  <cols>
    <col min="1" max="1" width="23.5546875" bestFit="1" customWidth="1"/>
  </cols>
  <sheetData>
    <row r="3" spans="1:3" x14ac:dyDescent="0.3">
      <c r="A3" t="s">
        <v>81</v>
      </c>
    </row>
    <row r="4" spans="1:3" x14ac:dyDescent="0.3">
      <c r="A4" s="6">
        <v>2.7818181818181817</v>
      </c>
    </row>
    <row r="6" spans="1:3" x14ac:dyDescent="0.3">
      <c r="A6" t="s">
        <v>82</v>
      </c>
      <c r="B6" s="6">
        <f>A4</f>
        <v>2.7818181818181817</v>
      </c>
      <c r="C6">
        <f>B6/4</f>
        <v>0.69545454545454544</v>
      </c>
    </row>
    <row r="7" spans="1:3" x14ac:dyDescent="0.3">
      <c r="A7" t="s">
        <v>83</v>
      </c>
      <c r="B7" s="6">
        <f>4-B6</f>
        <v>1.2181818181818183</v>
      </c>
      <c r="C7">
        <f>B7/4</f>
        <v>0.30454545454545456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390AC-E2D6-4026-BD34-68E2DEC0AB5D}">
  <dimension ref="A3:E7"/>
  <sheetViews>
    <sheetView workbookViewId="0">
      <selection activeCell="B5" sqref="B5"/>
    </sheetView>
  </sheetViews>
  <sheetFormatPr defaultRowHeight="14.4" x14ac:dyDescent="0.3"/>
  <cols>
    <col min="1" max="1" width="12.5546875" bestFit="1" customWidth="1"/>
    <col min="2" max="2" width="15.88671875" bestFit="1" customWidth="1"/>
    <col min="4" max="4" width="11.88671875" bestFit="1" customWidth="1"/>
  </cols>
  <sheetData>
    <row r="3" spans="1:5" x14ac:dyDescent="0.3">
      <c r="A3" s="2" t="s">
        <v>63</v>
      </c>
      <c r="B3" t="s">
        <v>84</v>
      </c>
      <c r="D3" t="s">
        <v>17</v>
      </c>
      <c r="E3" t="s">
        <v>1</v>
      </c>
    </row>
    <row r="4" spans="1:5" x14ac:dyDescent="0.3">
      <c r="A4" s="3" t="s">
        <v>48</v>
      </c>
      <c r="B4" s="10">
        <v>433</v>
      </c>
      <c r="D4" t="str">
        <f>A4</f>
        <v>Married</v>
      </c>
      <c r="E4">
        <f>GETPIVOTDATA("Attrition",$A$3,"MaritalStatus",A4)</f>
        <v>433</v>
      </c>
    </row>
    <row r="5" spans="1:5" x14ac:dyDescent="0.3">
      <c r="A5" s="3" t="s">
        <v>41</v>
      </c>
      <c r="B5" s="10">
        <v>304</v>
      </c>
      <c r="D5" t="str">
        <f>A5</f>
        <v>Single</v>
      </c>
      <c r="E5">
        <f>GETPIVOTDATA("Attrition",$A$3,"MaritalStatus",A5)</f>
        <v>304</v>
      </c>
    </row>
    <row r="6" spans="1:5" x14ac:dyDescent="0.3">
      <c r="A6" s="3" t="s">
        <v>52</v>
      </c>
      <c r="B6" s="10">
        <v>224</v>
      </c>
      <c r="D6" t="str">
        <f>A6</f>
        <v>Divorced</v>
      </c>
      <c r="E6">
        <f>GETPIVOTDATA("Attrition",$A$3,"MaritalStatus",A6)</f>
        <v>224</v>
      </c>
    </row>
    <row r="7" spans="1:5" x14ac:dyDescent="0.3">
      <c r="A7" s="3" t="s">
        <v>64</v>
      </c>
      <c r="B7" s="10">
        <v>961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A8A95-2898-4B9B-857C-0F50985B63C2}">
  <dimension ref="A1:AJ1471"/>
  <sheetViews>
    <sheetView tabSelected="1" topLeftCell="A2" workbookViewId="0">
      <selection activeCell="C2" sqref="C2"/>
    </sheetView>
  </sheetViews>
  <sheetFormatPr defaultRowHeight="14.4" x14ac:dyDescent="0.3"/>
  <cols>
    <col min="1" max="1" width="11.33203125" customWidth="1"/>
    <col min="2" max="3" width="8.88671875" customWidth="1"/>
    <col min="4" max="4" width="15.6640625" bestFit="1" customWidth="1"/>
    <col min="5" max="5" width="15.109375" customWidth="1"/>
    <col min="6" max="7" width="21.88671875" bestFit="1" customWidth="1"/>
    <col min="8" max="8" width="19.33203125" customWidth="1"/>
    <col min="9" max="9" width="15.6640625" bestFit="1" customWidth="1"/>
    <col min="10" max="10" width="15.21875" customWidth="1"/>
    <col min="11" max="11" width="16.33203125" customWidth="1"/>
    <col min="12" max="12" width="18.109375" customWidth="1"/>
    <col min="13" max="13" width="23.5546875" customWidth="1"/>
    <col min="14" max="14" width="12.5546875" bestFit="1" customWidth="1"/>
    <col min="15" max="15" width="16.88671875" bestFit="1" customWidth="1"/>
    <col min="16" max="16" width="16.44140625" customWidth="1"/>
    <col min="17" max="17" width="22.88671875" bestFit="1" customWidth="1"/>
    <col min="18" max="18" width="9.44140625" customWidth="1"/>
    <col min="19" max="19" width="15.5546875" customWidth="1"/>
    <col min="20" max="20" width="16.88671875" bestFit="1" customWidth="1"/>
    <col min="21" max="21" width="16.44140625" customWidth="1"/>
    <col min="22" max="22" width="23.6640625" bestFit="1" customWidth="1"/>
    <col min="23" max="23" width="23" customWidth="1"/>
    <col min="24" max="24" width="11.33203125" bestFit="1" customWidth="1"/>
    <col min="25" max="25" width="18.5546875" bestFit="1" customWidth="1"/>
    <col min="26" max="26" width="18.109375" customWidth="1"/>
    <col min="27" max="27" width="19.109375" customWidth="1"/>
    <col min="28" max="28" width="23" customWidth="1"/>
    <col min="29" max="29" width="18.109375" bestFit="1" customWidth="1"/>
    <col min="30" max="30" width="19.109375" bestFit="1" customWidth="1"/>
    <col min="31" max="31" width="22.109375" bestFit="1" customWidth="1"/>
    <col min="32" max="32" width="21.5546875" customWidth="1"/>
    <col min="33" max="33" width="17" customWidth="1"/>
    <col min="34" max="34" width="17.33203125" customWidth="1"/>
    <col min="35" max="35" width="19" customWidth="1"/>
    <col min="36" max="36" width="24.109375" customWidth="1"/>
    <col min="37" max="37" width="22.44140625" customWidth="1"/>
  </cols>
  <sheetData>
    <row r="1" spans="1:36" x14ac:dyDescent="0.3">
      <c r="A1" t="s">
        <v>0</v>
      </c>
      <c r="B1" t="s">
        <v>70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3">
      <c r="A2">
        <v>41</v>
      </c>
      <c r="B2" t="str">
        <f>IF(A2&lt;=25,"18-25",IF(A2&lt;=35,"26-35",IF(A2&lt;=45,"36-45","46+")))</f>
        <v>36-45</v>
      </c>
      <c r="C2" t="s">
        <v>35</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36" x14ac:dyDescent="0.3">
      <c r="A3">
        <v>49</v>
      </c>
      <c r="B3" t="str">
        <f t="shared" ref="B3:B66" si="0">IF(A3&lt;=25,"18-25",IF(A3&lt;=35,"26-35",IF(A3&lt;=45,"36-45","46+")))</f>
        <v>46+</v>
      </c>
      <c r="C3" t="s">
        <v>43</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row>
    <row r="4" spans="1:36" x14ac:dyDescent="0.3">
      <c r="A4">
        <v>37</v>
      </c>
      <c r="B4" t="str">
        <f t="shared" si="0"/>
        <v>36-45</v>
      </c>
      <c r="C4" t="s">
        <v>35</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row>
    <row r="5" spans="1:36" x14ac:dyDescent="0.3">
      <c r="A5">
        <v>33</v>
      </c>
      <c r="B5" t="str">
        <f t="shared" si="0"/>
        <v>26-35</v>
      </c>
      <c r="C5" t="s">
        <v>43</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row>
    <row r="6" spans="1:36" x14ac:dyDescent="0.3">
      <c r="A6">
        <v>27</v>
      </c>
      <c r="B6" t="str">
        <f t="shared" si="0"/>
        <v>26-35</v>
      </c>
      <c r="C6" t="s">
        <v>43</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row>
    <row r="7" spans="1:36" x14ac:dyDescent="0.3">
      <c r="A7">
        <v>32</v>
      </c>
      <c r="B7" t="str">
        <f t="shared" si="0"/>
        <v>26-35</v>
      </c>
      <c r="C7" t="s">
        <v>43</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row>
    <row r="8" spans="1:36" x14ac:dyDescent="0.3">
      <c r="A8">
        <v>59</v>
      </c>
      <c r="B8" t="str">
        <f t="shared" si="0"/>
        <v>46+</v>
      </c>
      <c r="C8" t="s">
        <v>43</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row>
    <row r="9" spans="1:36" x14ac:dyDescent="0.3">
      <c r="A9">
        <v>30</v>
      </c>
      <c r="B9" t="str">
        <f t="shared" si="0"/>
        <v>26-35</v>
      </c>
      <c r="C9" t="s">
        <v>43</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row>
    <row r="10" spans="1:36" x14ac:dyDescent="0.3">
      <c r="A10">
        <v>38</v>
      </c>
      <c r="B10" t="str">
        <f t="shared" si="0"/>
        <v>36-45</v>
      </c>
      <c r="C10" t="s">
        <v>43</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row>
    <row r="11" spans="1:36" x14ac:dyDescent="0.3">
      <c r="A11">
        <v>36</v>
      </c>
      <c r="B11" t="str">
        <f t="shared" si="0"/>
        <v>36-45</v>
      </c>
      <c r="C11" t="s">
        <v>43</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36" x14ac:dyDescent="0.3">
      <c r="A12">
        <v>35</v>
      </c>
      <c r="B12" t="str">
        <f t="shared" si="0"/>
        <v>26-35</v>
      </c>
      <c r="C12" t="s">
        <v>43</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36" x14ac:dyDescent="0.3">
      <c r="A13">
        <v>29</v>
      </c>
      <c r="B13" t="str">
        <f t="shared" si="0"/>
        <v>26-35</v>
      </c>
      <c r="C13" t="s">
        <v>43</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36" x14ac:dyDescent="0.3">
      <c r="A14">
        <v>31</v>
      </c>
      <c r="B14" t="str">
        <f t="shared" si="0"/>
        <v>26-35</v>
      </c>
      <c r="C14" t="s">
        <v>43</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36" x14ac:dyDescent="0.3">
      <c r="A15">
        <v>34</v>
      </c>
      <c r="B15" t="str">
        <f t="shared" si="0"/>
        <v>26-35</v>
      </c>
      <c r="C15" t="s">
        <v>43</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36" x14ac:dyDescent="0.3">
      <c r="A16">
        <v>28</v>
      </c>
      <c r="B16" t="str">
        <f t="shared" si="0"/>
        <v>26-35</v>
      </c>
      <c r="C16" t="s">
        <v>35</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3">
      <c r="A17">
        <v>29</v>
      </c>
      <c r="B17" t="str">
        <f t="shared" si="0"/>
        <v>26-35</v>
      </c>
      <c r="C17" t="s">
        <v>43</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3">
      <c r="A18">
        <v>32</v>
      </c>
      <c r="B18" t="str">
        <f t="shared" si="0"/>
        <v>26-35</v>
      </c>
      <c r="C18" t="s">
        <v>43</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3">
      <c r="A19">
        <v>22</v>
      </c>
      <c r="B19" t="str">
        <f t="shared" si="0"/>
        <v>18-25</v>
      </c>
      <c r="C19" t="s">
        <v>43</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3">
      <c r="A20">
        <v>53</v>
      </c>
      <c r="B20" t="str">
        <f t="shared" si="0"/>
        <v>46+</v>
      </c>
      <c r="C20" t="s">
        <v>43</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3">
      <c r="A21">
        <v>38</v>
      </c>
      <c r="B21" t="str">
        <f t="shared" si="0"/>
        <v>36-45</v>
      </c>
      <c r="C21" t="s">
        <v>43</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3">
      <c r="A22">
        <v>24</v>
      </c>
      <c r="B22" t="str">
        <f t="shared" si="0"/>
        <v>18-25</v>
      </c>
      <c r="C22" t="s">
        <v>43</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3">
      <c r="A23">
        <v>36</v>
      </c>
      <c r="B23" t="str">
        <f t="shared" si="0"/>
        <v>36-45</v>
      </c>
      <c r="C23" t="s">
        <v>35</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3">
      <c r="A24">
        <v>34</v>
      </c>
      <c r="B24" t="str">
        <f t="shared" si="0"/>
        <v>26-35</v>
      </c>
      <c r="C24" t="s">
        <v>43</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3">
      <c r="A25">
        <v>21</v>
      </c>
      <c r="B25" t="str">
        <f t="shared" si="0"/>
        <v>18-25</v>
      </c>
      <c r="C25" t="s">
        <v>43</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3">
      <c r="A26">
        <v>34</v>
      </c>
      <c r="B26" t="str">
        <f t="shared" si="0"/>
        <v>26-35</v>
      </c>
      <c r="C26" t="s">
        <v>35</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3">
      <c r="A27">
        <v>53</v>
      </c>
      <c r="B27" t="str">
        <f t="shared" si="0"/>
        <v>46+</v>
      </c>
      <c r="C27" t="s">
        <v>43</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3">
      <c r="A28">
        <v>32</v>
      </c>
      <c r="B28" t="str">
        <f t="shared" si="0"/>
        <v>26-35</v>
      </c>
      <c r="C28" t="s">
        <v>35</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3">
      <c r="A29">
        <v>42</v>
      </c>
      <c r="B29" t="str">
        <f t="shared" si="0"/>
        <v>36-45</v>
      </c>
      <c r="C29" t="s">
        <v>43</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3">
      <c r="A30">
        <v>44</v>
      </c>
      <c r="B30" t="str">
        <f t="shared" si="0"/>
        <v>36-45</v>
      </c>
      <c r="C30" t="s">
        <v>43</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3">
      <c r="A31">
        <v>46</v>
      </c>
      <c r="B31" t="str">
        <f t="shared" si="0"/>
        <v>46+</v>
      </c>
      <c r="C31" t="s">
        <v>43</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3">
      <c r="A32">
        <v>33</v>
      </c>
      <c r="B32" t="str">
        <f t="shared" si="0"/>
        <v>26-35</v>
      </c>
      <c r="C32" t="s">
        <v>43</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3">
      <c r="A33">
        <v>44</v>
      </c>
      <c r="B33" t="str">
        <f t="shared" si="0"/>
        <v>36-45</v>
      </c>
      <c r="C33" t="s">
        <v>43</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3">
      <c r="A34">
        <v>30</v>
      </c>
      <c r="B34" t="str">
        <f t="shared" si="0"/>
        <v>26-35</v>
      </c>
      <c r="C34" t="s">
        <v>43</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3">
      <c r="A35">
        <v>39</v>
      </c>
      <c r="B35" t="str">
        <f t="shared" si="0"/>
        <v>36-45</v>
      </c>
      <c r="C35" t="s">
        <v>35</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3">
      <c r="A36">
        <v>24</v>
      </c>
      <c r="B36" t="str">
        <f t="shared" si="0"/>
        <v>18-25</v>
      </c>
      <c r="C36" t="s">
        <v>35</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3">
      <c r="A37">
        <v>43</v>
      </c>
      <c r="B37" t="str">
        <f t="shared" si="0"/>
        <v>36-45</v>
      </c>
      <c r="C37" t="s">
        <v>43</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3">
      <c r="A38">
        <v>50</v>
      </c>
      <c r="B38" t="str">
        <f t="shared" si="0"/>
        <v>46+</v>
      </c>
      <c r="C38" t="s">
        <v>35</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3">
      <c r="A39">
        <v>35</v>
      </c>
      <c r="B39" t="str">
        <f t="shared" si="0"/>
        <v>26-35</v>
      </c>
      <c r="C39" t="s">
        <v>43</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3">
      <c r="A40">
        <v>36</v>
      </c>
      <c r="B40" t="str">
        <f t="shared" si="0"/>
        <v>36-45</v>
      </c>
      <c r="C40" t="s">
        <v>43</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3">
      <c r="A41">
        <v>33</v>
      </c>
      <c r="B41" t="str">
        <f t="shared" si="0"/>
        <v>26-35</v>
      </c>
      <c r="C41" t="s">
        <v>43</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3">
      <c r="A42">
        <v>35</v>
      </c>
      <c r="B42" t="str">
        <f t="shared" si="0"/>
        <v>26-35</v>
      </c>
      <c r="C42" t="s">
        <v>43</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3">
      <c r="A43">
        <v>27</v>
      </c>
      <c r="B43" t="str">
        <f t="shared" si="0"/>
        <v>26-35</v>
      </c>
      <c r="C43" t="s">
        <v>43</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3">
      <c r="A44">
        <v>26</v>
      </c>
      <c r="B44" t="str">
        <f t="shared" si="0"/>
        <v>26-35</v>
      </c>
      <c r="C44" t="s">
        <v>35</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3">
      <c r="A45">
        <v>27</v>
      </c>
      <c r="B45" t="str">
        <f t="shared" si="0"/>
        <v>26-35</v>
      </c>
      <c r="C45" t="s">
        <v>43</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3">
      <c r="A46">
        <v>30</v>
      </c>
      <c r="B46" t="str">
        <f t="shared" si="0"/>
        <v>26-35</v>
      </c>
      <c r="C46" t="s">
        <v>43</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3">
      <c r="A47">
        <v>41</v>
      </c>
      <c r="B47" t="str">
        <f t="shared" si="0"/>
        <v>36-45</v>
      </c>
      <c r="C47" t="s">
        <v>35</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3">
      <c r="A48">
        <v>34</v>
      </c>
      <c r="B48" t="str">
        <f t="shared" si="0"/>
        <v>26-35</v>
      </c>
      <c r="C48" t="s">
        <v>43</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3">
      <c r="A49">
        <v>37</v>
      </c>
      <c r="B49" t="str">
        <f t="shared" si="0"/>
        <v>36-45</v>
      </c>
      <c r="C49" t="s">
        <v>43</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3">
      <c r="A50">
        <v>46</v>
      </c>
      <c r="B50" t="str">
        <f t="shared" si="0"/>
        <v>46+</v>
      </c>
      <c r="C50" t="s">
        <v>43</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3">
      <c r="A51">
        <v>35</v>
      </c>
      <c r="B51" t="str">
        <f t="shared" si="0"/>
        <v>26-35</v>
      </c>
      <c r="C51" t="s">
        <v>43</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3">
      <c r="A52">
        <v>48</v>
      </c>
      <c r="B52" t="str">
        <f t="shared" si="0"/>
        <v>46+</v>
      </c>
      <c r="C52" t="s">
        <v>35</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3">
      <c r="A53">
        <v>28</v>
      </c>
      <c r="B53" t="str">
        <f t="shared" si="0"/>
        <v>26-35</v>
      </c>
      <c r="C53" t="s">
        <v>35</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3">
      <c r="A54">
        <v>44</v>
      </c>
      <c r="B54" t="str">
        <f t="shared" si="0"/>
        <v>36-45</v>
      </c>
      <c r="C54" t="s">
        <v>43</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3">
      <c r="A55">
        <v>35</v>
      </c>
      <c r="B55" t="str">
        <f t="shared" si="0"/>
        <v>26-35</v>
      </c>
      <c r="C55" t="s">
        <v>43</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3">
      <c r="A56">
        <v>26</v>
      </c>
      <c r="B56" t="str">
        <f t="shared" si="0"/>
        <v>26-35</v>
      </c>
      <c r="C56" t="s">
        <v>43</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3">
      <c r="A57">
        <v>33</v>
      </c>
      <c r="B57" t="str">
        <f t="shared" si="0"/>
        <v>26-35</v>
      </c>
      <c r="C57" t="s">
        <v>43</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3">
      <c r="A58">
        <v>35</v>
      </c>
      <c r="B58" t="str">
        <f t="shared" si="0"/>
        <v>26-35</v>
      </c>
      <c r="C58" t="s">
        <v>43</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3">
      <c r="A59">
        <v>35</v>
      </c>
      <c r="B59" t="str">
        <f t="shared" si="0"/>
        <v>26-35</v>
      </c>
      <c r="C59" t="s">
        <v>43</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3">
      <c r="A60">
        <v>31</v>
      </c>
      <c r="B60" t="str">
        <f t="shared" si="0"/>
        <v>26-35</v>
      </c>
      <c r="C60" t="s">
        <v>43</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3">
      <c r="A61">
        <v>37</v>
      </c>
      <c r="B61" t="str">
        <f t="shared" si="0"/>
        <v>36-45</v>
      </c>
      <c r="C61" t="s">
        <v>43</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3">
      <c r="A62">
        <v>32</v>
      </c>
      <c r="B62" t="str">
        <f t="shared" si="0"/>
        <v>26-35</v>
      </c>
      <c r="C62" t="s">
        <v>43</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3">
      <c r="A63">
        <v>38</v>
      </c>
      <c r="B63" t="str">
        <f t="shared" si="0"/>
        <v>36-45</v>
      </c>
      <c r="C63" t="s">
        <v>43</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3">
      <c r="A64">
        <v>50</v>
      </c>
      <c r="B64" t="str">
        <f t="shared" si="0"/>
        <v>46+</v>
      </c>
      <c r="C64" t="s">
        <v>43</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3">
      <c r="A65">
        <v>59</v>
      </c>
      <c r="B65" t="str">
        <f t="shared" si="0"/>
        <v>46+</v>
      </c>
      <c r="C65" t="s">
        <v>43</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3">
      <c r="A66">
        <v>36</v>
      </c>
      <c r="B66" t="str">
        <f t="shared" si="0"/>
        <v>36-45</v>
      </c>
      <c r="C66" t="s">
        <v>43</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3">
      <c r="A67">
        <v>55</v>
      </c>
      <c r="B67" t="str">
        <f t="shared" ref="B67:B130" si="1">IF(A67&lt;=25,"18-25",IF(A67&lt;=35,"26-35",IF(A67&lt;=45,"36-45","46+")))</f>
        <v>46+</v>
      </c>
      <c r="C67" t="s">
        <v>43</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3">
      <c r="A68">
        <v>36</v>
      </c>
      <c r="B68" t="str">
        <f t="shared" si="1"/>
        <v>36-45</v>
      </c>
      <c r="C68" t="s">
        <v>43</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3">
      <c r="A69">
        <v>45</v>
      </c>
      <c r="B69" t="str">
        <f t="shared" si="1"/>
        <v>36-45</v>
      </c>
      <c r="C69" t="s">
        <v>43</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3">
      <c r="A70">
        <v>35</v>
      </c>
      <c r="B70" t="str">
        <f t="shared" si="1"/>
        <v>26-35</v>
      </c>
      <c r="C70" t="s">
        <v>43</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3">
      <c r="A71">
        <v>36</v>
      </c>
      <c r="B71" t="str">
        <f t="shared" si="1"/>
        <v>36-45</v>
      </c>
      <c r="C71" t="s">
        <v>35</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3">
      <c r="A72">
        <v>59</v>
      </c>
      <c r="B72" t="str">
        <f t="shared" si="1"/>
        <v>46+</v>
      </c>
      <c r="C72" t="s">
        <v>43</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3">
      <c r="A73">
        <v>29</v>
      </c>
      <c r="B73" t="str">
        <f t="shared" si="1"/>
        <v>26-35</v>
      </c>
      <c r="C73" t="s">
        <v>43</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3">
      <c r="A74">
        <v>31</v>
      </c>
      <c r="B74" t="str">
        <f t="shared" si="1"/>
        <v>26-35</v>
      </c>
      <c r="C74" t="s">
        <v>43</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3">
      <c r="A75">
        <v>32</v>
      </c>
      <c r="B75" t="str">
        <f t="shared" si="1"/>
        <v>26-35</v>
      </c>
      <c r="C75" t="s">
        <v>43</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3">
      <c r="A76">
        <v>36</v>
      </c>
      <c r="B76" t="str">
        <f t="shared" si="1"/>
        <v>36-45</v>
      </c>
      <c r="C76" t="s">
        <v>43</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3">
      <c r="A77">
        <v>31</v>
      </c>
      <c r="B77" t="str">
        <f t="shared" si="1"/>
        <v>26-35</v>
      </c>
      <c r="C77" t="s">
        <v>43</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3">
      <c r="A78">
        <v>35</v>
      </c>
      <c r="B78" t="str">
        <f t="shared" si="1"/>
        <v>26-35</v>
      </c>
      <c r="C78" t="s">
        <v>43</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3">
      <c r="A79">
        <v>45</v>
      </c>
      <c r="B79" t="str">
        <f t="shared" si="1"/>
        <v>36-45</v>
      </c>
      <c r="C79" t="s">
        <v>43</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3">
      <c r="A80">
        <v>37</v>
      </c>
      <c r="B80" t="str">
        <f t="shared" si="1"/>
        <v>36-45</v>
      </c>
      <c r="C80" t="s">
        <v>43</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3">
      <c r="A81">
        <v>46</v>
      </c>
      <c r="B81" t="str">
        <f t="shared" si="1"/>
        <v>46+</v>
      </c>
      <c r="C81" t="s">
        <v>43</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3">
      <c r="A82">
        <v>30</v>
      </c>
      <c r="B82" t="str">
        <f t="shared" si="1"/>
        <v>26-35</v>
      </c>
      <c r="C82" t="s">
        <v>43</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3">
      <c r="A83">
        <v>35</v>
      </c>
      <c r="B83" t="str">
        <f t="shared" si="1"/>
        <v>26-35</v>
      </c>
      <c r="C83" t="s">
        <v>43</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3">
      <c r="A84">
        <v>55</v>
      </c>
      <c r="B84" t="str">
        <f t="shared" si="1"/>
        <v>46+</v>
      </c>
      <c r="C84" t="s">
        <v>43</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3">
      <c r="A85">
        <v>38</v>
      </c>
      <c r="B85" t="str">
        <f t="shared" si="1"/>
        <v>36-45</v>
      </c>
      <c r="C85" t="s">
        <v>43</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3">
      <c r="A86">
        <v>34</v>
      </c>
      <c r="B86" t="str">
        <f t="shared" si="1"/>
        <v>26-35</v>
      </c>
      <c r="C86" t="s">
        <v>43</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3">
      <c r="A87">
        <v>56</v>
      </c>
      <c r="B87" t="str">
        <f t="shared" si="1"/>
        <v>46+</v>
      </c>
      <c r="C87" t="s">
        <v>43</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3">
      <c r="A88">
        <v>23</v>
      </c>
      <c r="B88" t="str">
        <f t="shared" si="1"/>
        <v>18-25</v>
      </c>
      <c r="C88" t="s">
        <v>43</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3">
      <c r="A89">
        <v>51</v>
      </c>
      <c r="B89" t="str">
        <f t="shared" si="1"/>
        <v>46+</v>
      </c>
      <c r="C89" t="s">
        <v>43</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3">
      <c r="A90">
        <v>30</v>
      </c>
      <c r="B90" t="str">
        <f t="shared" si="1"/>
        <v>26-35</v>
      </c>
      <c r="C90" t="s">
        <v>43</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3">
      <c r="A91">
        <v>46</v>
      </c>
      <c r="B91" t="str">
        <f t="shared" si="1"/>
        <v>46+</v>
      </c>
      <c r="C91" t="s">
        <v>35</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3">
      <c r="A92">
        <v>40</v>
      </c>
      <c r="B92" t="str">
        <f t="shared" si="1"/>
        <v>36-45</v>
      </c>
      <c r="C92" t="s">
        <v>43</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3">
      <c r="A93">
        <v>51</v>
      </c>
      <c r="B93" t="str">
        <f t="shared" si="1"/>
        <v>46+</v>
      </c>
      <c r="C93" t="s">
        <v>43</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3">
      <c r="A94">
        <v>30</v>
      </c>
      <c r="B94" t="str">
        <f t="shared" si="1"/>
        <v>26-35</v>
      </c>
      <c r="C94" t="s">
        <v>43</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3">
      <c r="A95">
        <v>46</v>
      </c>
      <c r="B95" t="str">
        <f t="shared" si="1"/>
        <v>46+</v>
      </c>
      <c r="C95" t="s">
        <v>43</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3">
      <c r="A96">
        <v>32</v>
      </c>
      <c r="B96" t="str">
        <f t="shared" si="1"/>
        <v>26-35</v>
      </c>
      <c r="C96" t="s">
        <v>43</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3">
      <c r="A97">
        <v>54</v>
      </c>
      <c r="B97" t="str">
        <f t="shared" si="1"/>
        <v>46+</v>
      </c>
      <c r="C97" t="s">
        <v>43</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3">
      <c r="A98">
        <v>24</v>
      </c>
      <c r="B98" t="str">
        <f t="shared" si="1"/>
        <v>18-25</v>
      </c>
      <c r="C98" t="s">
        <v>43</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3">
      <c r="A99">
        <v>28</v>
      </c>
      <c r="B99" t="str">
        <f t="shared" si="1"/>
        <v>26-35</v>
      </c>
      <c r="C99" t="s">
        <v>43</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3">
      <c r="A100">
        <v>58</v>
      </c>
      <c r="B100" t="str">
        <f t="shared" si="1"/>
        <v>46+</v>
      </c>
      <c r="C100" t="s">
        <v>43</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3">
      <c r="A101">
        <v>44</v>
      </c>
      <c r="B101" t="str">
        <f t="shared" si="1"/>
        <v>36-45</v>
      </c>
      <c r="C101" t="s">
        <v>43</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3">
      <c r="A102">
        <v>37</v>
      </c>
      <c r="B102" t="str">
        <f t="shared" si="1"/>
        <v>36-45</v>
      </c>
      <c r="C102" t="s">
        <v>35</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3">
      <c r="A103">
        <v>32</v>
      </c>
      <c r="B103" t="str">
        <f t="shared" si="1"/>
        <v>26-35</v>
      </c>
      <c r="C103" t="s">
        <v>43</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3">
      <c r="A104">
        <v>20</v>
      </c>
      <c r="B104" t="str">
        <f t="shared" si="1"/>
        <v>18-25</v>
      </c>
      <c r="C104" t="s">
        <v>35</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3">
      <c r="A105">
        <v>34</v>
      </c>
      <c r="B105" t="str">
        <f t="shared" si="1"/>
        <v>26-35</v>
      </c>
      <c r="C105" t="s">
        <v>43</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3">
      <c r="A106">
        <v>37</v>
      </c>
      <c r="B106" t="str">
        <f t="shared" si="1"/>
        <v>36-45</v>
      </c>
      <c r="C106" t="s">
        <v>43</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3">
      <c r="A107">
        <v>59</v>
      </c>
      <c r="B107" t="str">
        <f t="shared" si="1"/>
        <v>46+</v>
      </c>
      <c r="C107" t="s">
        <v>43</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3">
      <c r="A108">
        <v>50</v>
      </c>
      <c r="B108" t="str">
        <f t="shared" si="1"/>
        <v>46+</v>
      </c>
      <c r="C108" t="s">
        <v>43</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3">
      <c r="A109">
        <v>25</v>
      </c>
      <c r="B109" t="str">
        <f t="shared" si="1"/>
        <v>18-25</v>
      </c>
      <c r="C109" t="s">
        <v>35</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3">
      <c r="A110">
        <v>25</v>
      </c>
      <c r="B110" t="str">
        <f t="shared" si="1"/>
        <v>18-25</v>
      </c>
      <c r="C110" t="s">
        <v>43</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3">
      <c r="A111">
        <v>22</v>
      </c>
      <c r="B111" t="str">
        <f t="shared" si="1"/>
        <v>18-25</v>
      </c>
      <c r="C111" t="s">
        <v>43</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3">
      <c r="A112">
        <v>51</v>
      </c>
      <c r="B112" t="str">
        <f t="shared" si="1"/>
        <v>46+</v>
      </c>
      <c r="C112" t="s">
        <v>43</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3">
      <c r="A113">
        <v>34</v>
      </c>
      <c r="B113" t="str">
        <f t="shared" si="1"/>
        <v>26-35</v>
      </c>
      <c r="C113" t="s">
        <v>35</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3">
      <c r="A114">
        <v>54</v>
      </c>
      <c r="B114" t="str">
        <f t="shared" si="1"/>
        <v>46+</v>
      </c>
      <c r="C114" t="s">
        <v>43</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3">
      <c r="A115">
        <v>24</v>
      </c>
      <c r="B115" t="str">
        <f t="shared" si="1"/>
        <v>18-25</v>
      </c>
      <c r="C115" t="s">
        <v>43</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3">
      <c r="A116">
        <v>34</v>
      </c>
      <c r="B116" t="str">
        <f t="shared" si="1"/>
        <v>26-35</v>
      </c>
      <c r="C116" t="s">
        <v>43</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3">
      <c r="A117">
        <v>37</v>
      </c>
      <c r="B117" t="str">
        <f t="shared" si="1"/>
        <v>36-45</v>
      </c>
      <c r="C117" t="s">
        <v>43</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3">
      <c r="A118">
        <v>34</v>
      </c>
      <c r="B118" t="str">
        <f t="shared" si="1"/>
        <v>26-35</v>
      </c>
      <c r="C118" t="s">
        <v>43</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3">
      <c r="A119">
        <v>36</v>
      </c>
      <c r="B119" t="str">
        <f t="shared" si="1"/>
        <v>36-45</v>
      </c>
      <c r="C119" t="s">
        <v>43</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3">
      <c r="A120">
        <v>36</v>
      </c>
      <c r="B120" t="str">
        <f t="shared" si="1"/>
        <v>36-45</v>
      </c>
      <c r="C120" t="s">
        <v>43</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3">
      <c r="A121">
        <v>43</v>
      </c>
      <c r="B121" t="str">
        <f t="shared" si="1"/>
        <v>36-45</v>
      </c>
      <c r="C121" t="s">
        <v>43</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3">
      <c r="A122">
        <v>30</v>
      </c>
      <c r="B122" t="str">
        <f t="shared" si="1"/>
        <v>26-35</v>
      </c>
      <c r="C122" t="s">
        <v>43</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3">
      <c r="A123">
        <v>33</v>
      </c>
      <c r="B123" t="str">
        <f t="shared" si="1"/>
        <v>26-35</v>
      </c>
      <c r="C123" t="s">
        <v>43</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3">
      <c r="A124">
        <v>56</v>
      </c>
      <c r="B124" t="str">
        <f t="shared" si="1"/>
        <v>46+</v>
      </c>
      <c r="C124" t="s">
        <v>35</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3">
      <c r="A125">
        <v>51</v>
      </c>
      <c r="B125" t="str">
        <f t="shared" si="1"/>
        <v>46+</v>
      </c>
      <c r="C125" t="s">
        <v>43</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3">
      <c r="A126">
        <v>31</v>
      </c>
      <c r="B126" t="str">
        <f t="shared" si="1"/>
        <v>26-35</v>
      </c>
      <c r="C126" t="s">
        <v>35</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3">
      <c r="A127">
        <v>26</v>
      </c>
      <c r="B127" t="str">
        <f t="shared" si="1"/>
        <v>26-35</v>
      </c>
      <c r="C127" t="s">
        <v>43</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3">
      <c r="A128">
        <v>58</v>
      </c>
      <c r="B128" t="str">
        <f t="shared" si="1"/>
        <v>46+</v>
      </c>
      <c r="C128" t="s">
        <v>35</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3">
      <c r="A129">
        <v>19</v>
      </c>
      <c r="B129" t="str">
        <f t="shared" si="1"/>
        <v>18-25</v>
      </c>
      <c r="C129" t="s">
        <v>35</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3">
      <c r="A130">
        <v>22</v>
      </c>
      <c r="B130" t="str">
        <f t="shared" si="1"/>
        <v>18-25</v>
      </c>
      <c r="C130" t="s">
        <v>43</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3">
      <c r="A131">
        <v>49</v>
      </c>
      <c r="B131" t="str">
        <f t="shared" ref="B131:B194" si="2">IF(A131&lt;=25,"18-25",IF(A131&lt;=35,"26-35",IF(A131&lt;=45,"36-45","46+")))</f>
        <v>46+</v>
      </c>
      <c r="C131" t="s">
        <v>43</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3">
      <c r="A132">
        <v>43</v>
      </c>
      <c r="B132" t="str">
        <f t="shared" si="2"/>
        <v>36-45</v>
      </c>
      <c r="C132" t="s">
        <v>43</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3">
      <c r="A133">
        <v>50</v>
      </c>
      <c r="B133" t="str">
        <f t="shared" si="2"/>
        <v>46+</v>
      </c>
      <c r="C133" t="s">
        <v>43</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3">
      <c r="A134">
        <v>31</v>
      </c>
      <c r="B134" t="str">
        <f t="shared" si="2"/>
        <v>26-35</v>
      </c>
      <c r="C134" t="s">
        <v>35</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3">
      <c r="A135">
        <v>41</v>
      </c>
      <c r="B135" t="str">
        <f t="shared" si="2"/>
        <v>36-45</v>
      </c>
      <c r="C135" t="s">
        <v>43</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3">
      <c r="A136">
        <v>26</v>
      </c>
      <c r="B136" t="str">
        <f t="shared" si="2"/>
        <v>26-35</v>
      </c>
      <c r="C136" t="s">
        <v>43</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3">
      <c r="A137">
        <v>36</v>
      </c>
      <c r="B137" t="str">
        <f t="shared" si="2"/>
        <v>36-45</v>
      </c>
      <c r="C137" t="s">
        <v>43</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3">
      <c r="A138">
        <v>51</v>
      </c>
      <c r="B138" t="str">
        <f t="shared" si="2"/>
        <v>46+</v>
      </c>
      <c r="C138" t="s">
        <v>35</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3">
      <c r="A139">
        <v>39</v>
      </c>
      <c r="B139" t="str">
        <f t="shared" si="2"/>
        <v>36-45</v>
      </c>
      <c r="C139" t="s">
        <v>43</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3">
      <c r="A140">
        <v>25</v>
      </c>
      <c r="B140" t="str">
        <f t="shared" si="2"/>
        <v>18-25</v>
      </c>
      <c r="C140" t="s">
        <v>43</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3">
      <c r="A141">
        <v>30</v>
      </c>
      <c r="B141" t="str">
        <f t="shared" si="2"/>
        <v>26-35</v>
      </c>
      <c r="C141" t="s">
        <v>43</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3">
      <c r="A142">
        <v>32</v>
      </c>
      <c r="B142" t="str">
        <f t="shared" si="2"/>
        <v>26-35</v>
      </c>
      <c r="C142" t="s">
        <v>35</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3">
      <c r="A143">
        <v>45</v>
      </c>
      <c r="B143" t="str">
        <f t="shared" si="2"/>
        <v>36-45</v>
      </c>
      <c r="C143" t="s">
        <v>43</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3">
      <c r="A144">
        <v>38</v>
      </c>
      <c r="B144" t="str">
        <f t="shared" si="2"/>
        <v>36-45</v>
      </c>
      <c r="C144" t="s">
        <v>43</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3">
      <c r="A145">
        <v>30</v>
      </c>
      <c r="B145" t="str">
        <f t="shared" si="2"/>
        <v>26-35</v>
      </c>
      <c r="C145" t="s">
        <v>43</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3">
      <c r="A146">
        <v>32</v>
      </c>
      <c r="B146" t="str">
        <f t="shared" si="2"/>
        <v>26-35</v>
      </c>
      <c r="C146" t="s">
        <v>43</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3">
      <c r="A147">
        <v>30</v>
      </c>
      <c r="B147" t="str">
        <f t="shared" si="2"/>
        <v>26-35</v>
      </c>
      <c r="C147" t="s">
        <v>43</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3">
      <c r="A148">
        <v>30</v>
      </c>
      <c r="B148" t="str">
        <f t="shared" si="2"/>
        <v>26-35</v>
      </c>
      <c r="C148" t="s">
        <v>43</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3">
      <c r="A149">
        <v>41</v>
      </c>
      <c r="B149" t="str">
        <f t="shared" si="2"/>
        <v>36-45</v>
      </c>
      <c r="C149" t="s">
        <v>43</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3">
      <c r="A150">
        <v>41</v>
      </c>
      <c r="B150" t="str">
        <f t="shared" si="2"/>
        <v>36-45</v>
      </c>
      <c r="C150" t="s">
        <v>43</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3">
      <c r="A151">
        <v>19</v>
      </c>
      <c r="B151" t="str">
        <f t="shared" si="2"/>
        <v>18-25</v>
      </c>
      <c r="C151" t="s">
        <v>43</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3">
      <c r="A152">
        <v>40</v>
      </c>
      <c r="B152" t="str">
        <f t="shared" si="2"/>
        <v>36-45</v>
      </c>
      <c r="C152" t="s">
        <v>43</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3">
      <c r="A153">
        <v>35</v>
      </c>
      <c r="B153" t="str">
        <f t="shared" si="2"/>
        <v>26-35</v>
      </c>
      <c r="C153" t="s">
        <v>43</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3">
      <c r="A154">
        <v>53</v>
      </c>
      <c r="B154" t="str">
        <f t="shared" si="2"/>
        <v>46+</v>
      </c>
      <c r="C154" t="s">
        <v>43</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3">
      <c r="A155">
        <v>45</v>
      </c>
      <c r="B155" t="str">
        <f t="shared" si="2"/>
        <v>36-45</v>
      </c>
      <c r="C155" t="s">
        <v>43</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3">
      <c r="A156">
        <v>32</v>
      </c>
      <c r="B156" t="str">
        <f t="shared" si="2"/>
        <v>26-35</v>
      </c>
      <c r="C156" t="s">
        <v>43</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3">
      <c r="A157">
        <v>29</v>
      </c>
      <c r="B157" t="str">
        <f t="shared" si="2"/>
        <v>26-35</v>
      </c>
      <c r="C157" t="s">
        <v>43</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3">
      <c r="A158">
        <v>51</v>
      </c>
      <c r="B158" t="str">
        <f t="shared" si="2"/>
        <v>46+</v>
      </c>
      <c r="C158" t="s">
        <v>43</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3">
      <c r="A159">
        <v>58</v>
      </c>
      <c r="B159" t="str">
        <f t="shared" si="2"/>
        <v>46+</v>
      </c>
      <c r="C159" t="s">
        <v>43</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3">
      <c r="A160">
        <v>40</v>
      </c>
      <c r="B160" t="str">
        <f t="shared" si="2"/>
        <v>36-45</v>
      </c>
      <c r="C160" t="s">
        <v>43</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3">
      <c r="A161">
        <v>34</v>
      </c>
      <c r="B161" t="str">
        <f t="shared" si="2"/>
        <v>26-35</v>
      </c>
      <c r="C161" t="s">
        <v>43</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3">
      <c r="A162">
        <v>22</v>
      </c>
      <c r="B162" t="str">
        <f t="shared" si="2"/>
        <v>18-25</v>
      </c>
      <c r="C162" t="s">
        <v>43</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3">
      <c r="A163">
        <v>27</v>
      </c>
      <c r="B163" t="str">
        <f t="shared" si="2"/>
        <v>26-35</v>
      </c>
      <c r="C163" t="s">
        <v>43</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3">
      <c r="A164">
        <v>28</v>
      </c>
      <c r="B164" t="str">
        <f t="shared" si="2"/>
        <v>26-35</v>
      </c>
      <c r="C164" t="s">
        <v>43</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3">
      <c r="A165">
        <v>57</v>
      </c>
      <c r="B165" t="str">
        <f t="shared" si="2"/>
        <v>46+</v>
      </c>
      <c r="C165" t="s">
        <v>43</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3">
      <c r="A166">
        <v>27</v>
      </c>
      <c r="B166" t="str">
        <f t="shared" si="2"/>
        <v>26-35</v>
      </c>
      <c r="C166" t="s">
        <v>43</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3">
      <c r="A167">
        <v>50</v>
      </c>
      <c r="B167" t="str">
        <f t="shared" si="2"/>
        <v>46+</v>
      </c>
      <c r="C167" t="s">
        <v>43</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3">
      <c r="A168">
        <v>41</v>
      </c>
      <c r="B168" t="str">
        <f t="shared" si="2"/>
        <v>36-45</v>
      </c>
      <c r="C168" t="s">
        <v>43</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3">
      <c r="A169">
        <v>30</v>
      </c>
      <c r="B169" t="str">
        <f t="shared" si="2"/>
        <v>26-35</v>
      </c>
      <c r="C169" t="s">
        <v>43</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3">
      <c r="A170">
        <v>38</v>
      </c>
      <c r="B170" t="str">
        <f t="shared" si="2"/>
        <v>36-45</v>
      </c>
      <c r="C170" t="s">
        <v>43</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3">
      <c r="A171">
        <v>32</v>
      </c>
      <c r="B171" t="str">
        <f t="shared" si="2"/>
        <v>26-35</v>
      </c>
      <c r="C171" t="s">
        <v>43</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3">
      <c r="A172">
        <v>27</v>
      </c>
      <c r="B172" t="str">
        <f t="shared" si="2"/>
        <v>26-35</v>
      </c>
      <c r="C172" t="s">
        <v>43</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3">
      <c r="A173">
        <v>19</v>
      </c>
      <c r="B173" t="str">
        <f t="shared" si="2"/>
        <v>18-25</v>
      </c>
      <c r="C173" t="s">
        <v>35</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3">
      <c r="A174">
        <v>36</v>
      </c>
      <c r="B174" t="str">
        <f t="shared" si="2"/>
        <v>36-45</v>
      </c>
      <c r="C174" t="s">
        <v>43</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3">
      <c r="A175">
        <v>30</v>
      </c>
      <c r="B175" t="str">
        <f t="shared" si="2"/>
        <v>26-35</v>
      </c>
      <c r="C175" t="s">
        <v>43</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3">
      <c r="A176">
        <v>45</v>
      </c>
      <c r="B176" t="str">
        <f t="shared" si="2"/>
        <v>36-45</v>
      </c>
      <c r="C176" t="s">
        <v>43</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3">
      <c r="A177">
        <v>56</v>
      </c>
      <c r="B177" t="str">
        <f t="shared" si="2"/>
        <v>46+</v>
      </c>
      <c r="C177" t="s">
        <v>43</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3">
      <c r="A178">
        <v>33</v>
      </c>
      <c r="B178" t="str">
        <f t="shared" si="2"/>
        <v>26-35</v>
      </c>
      <c r="C178" t="s">
        <v>43</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3">
      <c r="A179">
        <v>19</v>
      </c>
      <c r="B179" t="str">
        <f t="shared" si="2"/>
        <v>18-25</v>
      </c>
      <c r="C179" t="s">
        <v>35</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3">
      <c r="A180">
        <v>46</v>
      </c>
      <c r="B180" t="str">
        <f t="shared" si="2"/>
        <v>46+</v>
      </c>
      <c r="C180" t="s">
        <v>43</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3">
      <c r="A181">
        <v>38</v>
      </c>
      <c r="B181" t="str">
        <f t="shared" si="2"/>
        <v>36-45</v>
      </c>
      <c r="C181" t="s">
        <v>43</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3">
      <c r="A182">
        <v>31</v>
      </c>
      <c r="B182" t="str">
        <f t="shared" si="2"/>
        <v>26-35</v>
      </c>
      <c r="C182" t="s">
        <v>43</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3">
      <c r="A183">
        <v>34</v>
      </c>
      <c r="B183" t="str">
        <f t="shared" si="2"/>
        <v>26-35</v>
      </c>
      <c r="C183" t="s">
        <v>43</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3">
      <c r="A184">
        <v>41</v>
      </c>
      <c r="B184" t="str">
        <f t="shared" si="2"/>
        <v>36-45</v>
      </c>
      <c r="C184" t="s">
        <v>35</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3">
      <c r="A185">
        <v>50</v>
      </c>
      <c r="B185" t="str">
        <f t="shared" si="2"/>
        <v>46+</v>
      </c>
      <c r="C185" t="s">
        <v>43</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3">
      <c r="A186">
        <v>53</v>
      </c>
      <c r="B186" t="str">
        <f t="shared" si="2"/>
        <v>46+</v>
      </c>
      <c r="C186" t="s">
        <v>43</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3">
      <c r="A187">
        <v>33</v>
      </c>
      <c r="B187" t="str">
        <f t="shared" si="2"/>
        <v>26-35</v>
      </c>
      <c r="C187" t="s">
        <v>43</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3">
      <c r="A188">
        <v>40</v>
      </c>
      <c r="B188" t="str">
        <f t="shared" si="2"/>
        <v>36-45</v>
      </c>
      <c r="C188" t="s">
        <v>43</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3">
      <c r="A189">
        <v>55</v>
      </c>
      <c r="B189" t="str">
        <f t="shared" si="2"/>
        <v>46+</v>
      </c>
      <c r="C189" t="s">
        <v>43</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3">
      <c r="A190">
        <v>34</v>
      </c>
      <c r="B190" t="str">
        <f t="shared" si="2"/>
        <v>26-35</v>
      </c>
      <c r="C190" t="s">
        <v>43</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3">
      <c r="A191">
        <v>51</v>
      </c>
      <c r="B191" t="str">
        <f t="shared" si="2"/>
        <v>46+</v>
      </c>
      <c r="C191" t="s">
        <v>43</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3">
      <c r="A192">
        <v>52</v>
      </c>
      <c r="B192" t="str">
        <f t="shared" si="2"/>
        <v>46+</v>
      </c>
      <c r="C192" t="s">
        <v>43</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3">
      <c r="A193">
        <v>27</v>
      </c>
      <c r="B193" t="str">
        <f t="shared" si="2"/>
        <v>26-35</v>
      </c>
      <c r="C193" t="s">
        <v>43</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3">
      <c r="A194">
        <v>35</v>
      </c>
      <c r="B194" t="str">
        <f t="shared" si="2"/>
        <v>26-35</v>
      </c>
      <c r="C194" t="s">
        <v>35</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3">
      <c r="A195">
        <v>43</v>
      </c>
      <c r="B195" t="str">
        <f t="shared" ref="B195:B258" si="3">IF(A195&lt;=25,"18-25",IF(A195&lt;=35,"26-35",IF(A195&lt;=45,"36-45","46+")))</f>
        <v>36-45</v>
      </c>
      <c r="C195" t="s">
        <v>43</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3">
      <c r="A196">
        <v>45</v>
      </c>
      <c r="B196" t="str">
        <f t="shared" si="3"/>
        <v>36-45</v>
      </c>
      <c r="C196" t="s">
        <v>43</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3">
      <c r="A197">
        <v>37</v>
      </c>
      <c r="B197" t="str">
        <f t="shared" si="3"/>
        <v>36-45</v>
      </c>
      <c r="C197" t="s">
        <v>43</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3">
      <c r="A198">
        <v>35</v>
      </c>
      <c r="B198" t="str">
        <f t="shared" si="3"/>
        <v>26-35</v>
      </c>
      <c r="C198" t="s">
        <v>43</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3">
      <c r="A199">
        <v>42</v>
      </c>
      <c r="B199" t="str">
        <f t="shared" si="3"/>
        <v>36-45</v>
      </c>
      <c r="C199" t="s">
        <v>43</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3">
      <c r="A200">
        <v>38</v>
      </c>
      <c r="B200" t="str">
        <f t="shared" si="3"/>
        <v>36-45</v>
      </c>
      <c r="C200" t="s">
        <v>43</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3">
      <c r="A201">
        <v>38</v>
      </c>
      <c r="B201" t="str">
        <f t="shared" si="3"/>
        <v>36-45</v>
      </c>
      <c r="C201" t="s">
        <v>43</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3">
      <c r="A202">
        <v>27</v>
      </c>
      <c r="B202" t="str">
        <f t="shared" si="3"/>
        <v>26-35</v>
      </c>
      <c r="C202" t="s">
        <v>43</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3">
      <c r="A203">
        <v>49</v>
      </c>
      <c r="B203" t="str">
        <f t="shared" si="3"/>
        <v>46+</v>
      </c>
      <c r="C203" t="s">
        <v>43</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3">
      <c r="A204">
        <v>34</v>
      </c>
      <c r="B204" t="str">
        <f t="shared" si="3"/>
        <v>26-35</v>
      </c>
      <c r="C204" t="s">
        <v>43</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3">
      <c r="A205">
        <v>40</v>
      </c>
      <c r="B205" t="str">
        <f t="shared" si="3"/>
        <v>36-45</v>
      </c>
      <c r="C205" t="s">
        <v>43</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3">
      <c r="A206">
        <v>38</v>
      </c>
      <c r="B206" t="str">
        <f t="shared" si="3"/>
        <v>36-45</v>
      </c>
      <c r="C206" t="s">
        <v>35</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3">
      <c r="A207">
        <v>29</v>
      </c>
      <c r="B207" t="str">
        <f t="shared" si="3"/>
        <v>26-35</v>
      </c>
      <c r="C207" t="s">
        <v>35</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3">
      <c r="A208">
        <v>22</v>
      </c>
      <c r="B208" t="str">
        <f t="shared" si="3"/>
        <v>18-25</v>
      </c>
      <c r="C208" t="s">
        <v>43</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3">
      <c r="A209">
        <v>36</v>
      </c>
      <c r="B209" t="str">
        <f t="shared" si="3"/>
        <v>36-45</v>
      </c>
      <c r="C209" t="s">
        <v>43</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3">
      <c r="A210">
        <v>40</v>
      </c>
      <c r="B210" t="str">
        <f t="shared" si="3"/>
        <v>36-45</v>
      </c>
      <c r="C210" t="s">
        <v>43</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3">
      <c r="A211">
        <v>46</v>
      </c>
      <c r="B211" t="str">
        <f t="shared" si="3"/>
        <v>46+</v>
      </c>
      <c r="C211" t="s">
        <v>43</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3">
      <c r="A212">
        <v>32</v>
      </c>
      <c r="B212" t="str">
        <f t="shared" si="3"/>
        <v>26-35</v>
      </c>
      <c r="C212" t="s">
        <v>35</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3">
      <c r="A213">
        <v>30</v>
      </c>
      <c r="B213" t="str">
        <f t="shared" si="3"/>
        <v>26-35</v>
      </c>
      <c r="C213" t="s">
        <v>43</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3">
      <c r="A214">
        <v>27</v>
      </c>
      <c r="B214" t="str">
        <f t="shared" si="3"/>
        <v>26-35</v>
      </c>
      <c r="C214" t="s">
        <v>43</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3">
      <c r="A215">
        <v>51</v>
      </c>
      <c r="B215" t="str">
        <f t="shared" si="3"/>
        <v>46+</v>
      </c>
      <c r="C215" t="s">
        <v>43</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3">
      <c r="A216">
        <v>30</v>
      </c>
      <c r="B216" t="str">
        <f t="shared" si="3"/>
        <v>26-35</v>
      </c>
      <c r="C216" t="s">
        <v>35</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3">
      <c r="A217">
        <v>41</v>
      </c>
      <c r="B217" t="str">
        <f t="shared" si="3"/>
        <v>36-45</v>
      </c>
      <c r="C217" t="s">
        <v>43</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3">
      <c r="A218">
        <v>30</v>
      </c>
      <c r="B218" t="str">
        <f t="shared" si="3"/>
        <v>26-35</v>
      </c>
      <c r="C218" t="s">
        <v>35</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3">
      <c r="A219">
        <v>29</v>
      </c>
      <c r="B219" t="str">
        <f t="shared" si="3"/>
        <v>26-35</v>
      </c>
      <c r="C219" t="s">
        <v>35</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3">
      <c r="A220">
        <v>45</v>
      </c>
      <c r="B220" t="str">
        <f t="shared" si="3"/>
        <v>36-45</v>
      </c>
      <c r="C220" t="s">
        <v>43</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3">
      <c r="A221">
        <v>54</v>
      </c>
      <c r="B221" t="str">
        <f t="shared" si="3"/>
        <v>46+</v>
      </c>
      <c r="C221" t="s">
        <v>43</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3">
      <c r="A222">
        <v>36</v>
      </c>
      <c r="B222" t="str">
        <f t="shared" si="3"/>
        <v>36-45</v>
      </c>
      <c r="C222" t="s">
        <v>43</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3">
      <c r="A223">
        <v>33</v>
      </c>
      <c r="B223" t="str">
        <f t="shared" si="3"/>
        <v>26-35</v>
      </c>
      <c r="C223" t="s">
        <v>43</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3">
      <c r="A224">
        <v>37</v>
      </c>
      <c r="B224" t="str">
        <f t="shared" si="3"/>
        <v>36-45</v>
      </c>
      <c r="C224" t="s">
        <v>43</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3">
      <c r="A225">
        <v>38</v>
      </c>
      <c r="B225" t="str">
        <f t="shared" si="3"/>
        <v>36-45</v>
      </c>
      <c r="C225" t="s">
        <v>43</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3">
      <c r="A226">
        <v>31</v>
      </c>
      <c r="B226" t="str">
        <f t="shared" si="3"/>
        <v>26-35</v>
      </c>
      <c r="C226" t="s">
        <v>43</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3">
      <c r="A227">
        <v>59</v>
      </c>
      <c r="B227" t="str">
        <f t="shared" si="3"/>
        <v>46+</v>
      </c>
      <c r="C227" t="s">
        <v>43</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3">
      <c r="A228">
        <v>37</v>
      </c>
      <c r="B228" t="str">
        <f t="shared" si="3"/>
        <v>36-45</v>
      </c>
      <c r="C228" t="s">
        <v>43</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3">
      <c r="A229">
        <v>29</v>
      </c>
      <c r="B229" t="str">
        <f t="shared" si="3"/>
        <v>26-35</v>
      </c>
      <c r="C229" t="s">
        <v>43</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3">
      <c r="A230">
        <v>35</v>
      </c>
      <c r="B230" t="str">
        <f t="shared" si="3"/>
        <v>26-35</v>
      </c>
      <c r="C230" t="s">
        <v>43</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3">
      <c r="A231">
        <v>29</v>
      </c>
      <c r="B231" t="str">
        <f t="shared" si="3"/>
        <v>26-35</v>
      </c>
      <c r="C231" t="s">
        <v>35</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3">
      <c r="A232">
        <v>52</v>
      </c>
      <c r="B232" t="str">
        <f t="shared" si="3"/>
        <v>46+</v>
      </c>
      <c r="C232" t="s">
        <v>43</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3">
      <c r="A233">
        <v>42</v>
      </c>
      <c r="B233" t="str">
        <f t="shared" si="3"/>
        <v>36-45</v>
      </c>
      <c r="C233" t="s">
        <v>43</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3">
      <c r="A234">
        <v>59</v>
      </c>
      <c r="B234" t="str">
        <f t="shared" si="3"/>
        <v>46+</v>
      </c>
      <c r="C234" t="s">
        <v>43</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3">
      <c r="A235">
        <v>50</v>
      </c>
      <c r="B235" t="str">
        <f t="shared" si="3"/>
        <v>46+</v>
      </c>
      <c r="C235" t="s">
        <v>43</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3">
      <c r="A236">
        <v>33</v>
      </c>
      <c r="B236" t="str">
        <f t="shared" si="3"/>
        <v>26-35</v>
      </c>
      <c r="C236" t="s">
        <v>35</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3">
      <c r="A237">
        <v>43</v>
      </c>
      <c r="B237" t="str">
        <f t="shared" si="3"/>
        <v>36-45</v>
      </c>
      <c r="C237" t="s">
        <v>43</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3">
      <c r="A238">
        <v>33</v>
      </c>
      <c r="B238" t="str">
        <f t="shared" si="3"/>
        <v>26-35</v>
      </c>
      <c r="C238" t="s">
        <v>35</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3">
      <c r="A239">
        <v>52</v>
      </c>
      <c r="B239" t="str">
        <f t="shared" si="3"/>
        <v>46+</v>
      </c>
      <c r="C239" t="s">
        <v>43</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3">
      <c r="A240">
        <v>32</v>
      </c>
      <c r="B240" t="str">
        <f t="shared" si="3"/>
        <v>26-35</v>
      </c>
      <c r="C240" t="s">
        <v>43</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3">
      <c r="A241">
        <v>32</v>
      </c>
      <c r="B241" t="str">
        <f t="shared" si="3"/>
        <v>26-35</v>
      </c>
      <c r="C241" t="s">
        <v>35</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3">
      <c r="A242">
        <v>39</v>
      </c>
      <c r="B242" t="str">
        <f t="shared" si="3"/>
        <v>36-45</v>
      </c>
      <c r="C242" t="s">
        <v>43</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3">
      <c r="A243">
        <v>32</v>
      </c>
      <c r="B243" t="str">
        <f t="shared" si="3"/>
        <v>26-35</v>
      </c>
      <c r="C243" t="s">
        <v>43</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3">
      <c r="A244">
        <v>41</v>
      </c>
      <c r="B244" t="str">
        <f t="shared" si="3"/>
        <v>36-45</v>
      </c>
      <c r="C244" t="s">
        <v>43</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3">
      <c r="A245">
        <v>40</v>
      </c>
      <c r="B245" t="str">
        <f t="shared" si="3"/>
        <v>36-45</v>
      </c>
      <c r="C245" t="s">
        <v>43</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3">
      <c r="A246">
        <v>45</v>
      </c>
      <c r="B246" t="str">
        <f t="shared" si="3"/>
        <v>36-45</v>
      </c>
      <c r="C246" t="s">
        <v>43</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3">
      <c r="A247">
        <v>31</v>
      </c>
      <c r="B247" t="str">
        <f t="shared" si="3"/>
        <v>26-35</v>
      </c>
      <c r="C247" t="s">
        <v>43</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3">
      <c r="A248">
        <v>33</v>
      </c>
      <c r="B248" t="str">
        <f t="shared" si="3"/>
        <v>26-35</v>
      </c>
      <c r="C248" t="s">
        <v>43</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3">
      <c r="A249">
        <v>34</v>
      </c>
      <c r="B249" t="str">
        <f t="shared" si="3"/>
        <v>26-35</v>
      </c>
      <c r="C249" t="s">
        <v>43</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3">
      <c r="A250">
        <v>37</v>
      </c>
      <c r="B250" t="str">
        <f t="shared" si="3"/>
        <v>36-45</v>
      </c>
      <c r="C250" t="s">
        <v>43</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3">
      <c r="A251">
        <v>45</v>
      </c>
      <c r="B251" t="str">
        <f t="shared" si="3"/>
        <v>36-45</v>
      </c>
      <c r="C251" t="s">
        <v>43</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3">
      <c r="A252">
        <v>37</v>
      </c>
      <c r="B252" t="str">
        <f t="shared" si="3"/>
        <v>36-45</v>
      </c>
      <c r="C252" t="s">
        <v>35</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3">
      <c r="A253">
        <v>39</v>
      </c>
      <c r="B253" t="str">
        <f t="shared" si="3"/>
        <v>36-45</v>
      </c>
      <c r="C253" t="s">
        <v>43</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3">
      <c r="A254">
        <v>29</v>
      </c>
      <c r="B254" t="str">
        <f t="shared" si="3"/>
        <v>26-35</v>
      </c>
      <c r="C254" t="s">
        <v>43</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3">
      <c r="A255">
        <v>42</v>
      </c>
      <c r="B255" t="str">
        <f t="shared" si="3"/>
        <v>36-45</v>
      </c>
      <c r="C255" t="s">
        <v>43</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3">
      <c r="A256">
        <v>29</v>
      </c>
      <c r="B256" t="str">
        <f t="shared" si="3"/>
        <v>26-35</v>
      </c>
      <c r="C256" t="s">
        <v>43</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3">
      <c r="A257">
        <v>25</v>
      </c>
      <c r="B257" t="str">
        <f t="shared" si="3"/>
        <v>18-25</v>
      </c>
      <c r="C257" t="s">
        <v>43</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3">
      <c r="A258">
        <v>42</v>
      </c>
      <c r="B258" t="str">
        <f t="shared" si="3"/>
        <v>36-45</v>
      </c>
      <c r="C258" t="s">
        <v>43</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3">
      <c r="A259">
        <v>40</v>
      </c>
      <c r="B259" t="str">
        <f t="shared" ref="B259:B322" si="4">IF(A259&lt;=25,"18-25",IF(A259&lt;=35,"26-35",IF(A259&lt;=45,"36-45","46+")))</f>
        <v>36-45</v>
      </c>
      <c r="C259" t="s">
        <v>43</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3">
      <c r="A260">
        <v>51</v>
      </c>
      <c r="B260" t="str">
        <f t="shared" si="4"/>
        <v>46+</v>
      </c>
      <c r="C260" t="s">
        <v>43</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3">
      <c r="A261">
        <v>31</v>
      </c>
      <c r="B261" t="str">
        <f t="shared" si="4"/>
        <v>26-35</v>
      </c>
      <c r="C261" t="s">
        <v>35</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3">
      <c r="A262">
        <v>32</v>
      </c>
      <c r="B262" t="str">
        <f t="shared" si="4"/>
        <v>26-35</v>
      </c>
      <c r="C262" t="s">
        <v>43</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3">
      <c r="A263">
        <v>38</v>
      </c>
      <c r="B263" t="str">
        <f t="shared" si="4"/>
        <v>36-45</v>
      </c>
      <c r="C263" t="s">
        <v>43</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3">
      <c r="A264">
        <v>32</v>
      </c>
      <c r="B264" t="str">
        <f t="shared" si="4"/>
        <v>26-35</v>
      </c>
      <c r="C264" t="s">
        <v>43</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3">
      <c r="A265">
        <v>46</v>
      </c>
      <c r="B265" t="str">
        <f t="shared" si="4"/>
        <v>46+</v>
      </c>
      <c r="C265" t="s">
        <v>43</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3">
      <c r="A266">
        <v>28</v>
      </c>
      <c r="B266" t="str">
        <f t="shared" si="4"/>
        <v>26-35</v>
      </c>
      <c r="C266" t="s">
        <v>35</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3">
      <c r="A267">
        <v>29</v>
      </c>
      <c r="B267" t="str">
        <f t="shared" si="4"/>
        <v>26-35</v>
      </c>
      <c r="C267" t="s">
        <v>43</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3">
      <c r="A268">
        <v>31</v>
      </c>
      <c r="B268" t="str">
        <f t="shared" si="4"/>
        <v>26-35</v>
      </c>
      <c r="C268" t="s">
        <v>43</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3">
      <c r="A269">
        <v>25</v>
      </c>
      <c r="B269" t="str">
        <f t="shared" si="4"/>
        <v>18-25</v>
      </c>
      <c r="C269" t="s">
        <v>43</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3">
      <c r="A270">
        <v>45</v>
      </c>
      <c r="B270" t="str">
        <f t="shared" si="4"/>
        <v>36-45</v>
      </c>
      <c r="C270" t="s">
        <v>43</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3">
      <c r="A271">
        <v>36</v>
      </c>
      <c r="B271" t="str">
        <f t="shared" si="4"/>
        <v>36-45</v>
      </c>
      <c r="C271" t="s">
        <v>43</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3">
      <c r="A272">
        <v>55</v>
      </c>
      <c r="B272" t="str">
        <f t="shared" si="4"/>
        <v>46+</v>
      </c>
      <c r="C272" t="s">
        <v>43</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3">
      <c r="A273">
        <v>47</v>
      </c>
      <c r="B273" t="str">
        <f t="shared" si="4"/>
        <v>46+</v>
      </c>
      <c r="C273" t="s">
        <v>35</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3">
      <c r="A274">
        <v>28</v>
      </c>
      <c r="B274" t="str">
        <f t="shared" si="4"/>
        <v>26-35</v>
      </c>
      <c r="C274" t="s">
        <v>43</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3">
      <c r="A275">
        <v>37</v>
      </c>
      <c r="B275" t="str">
        <f t="shared" si="4"/>
        <v>36-45</v>
      </c>
      <c r="C275" t="s">
        <v>43</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3">
      <c r="A276">
        <v>21</v>
      </c>
      <c r="B276" t="str">
        <f t="shared" si="4"/>
        <v>18-25</v>
      </c>
      <c r="C276" t="s">
        <v>43</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3">
      <c r="A277">
        <v>37</v>
      </c>
      <c r="B277" t="str">
        <f t="shared" si="4"/>
        <v>36-45</v>
      </c>
      <c r="C277" t="s">
        <v>43</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3">
      <c r="A278">
        <v>35</v>
      </c>
      <c r="B278" t="str">
        <f t="shared" si="4"/>
        <v>26-35</v>
      </c>
      <c r="C278" t="s">
        <v>43</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3">
      <c r="A279">
        <v>38</v>
      </c>
      <c r="B279" t="str">
        <f t="shared" si="4"/>
        <v>36-45</v>
      </c>
      <c r="C279" t="s">
        <v>43</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3">
      <c r="A280">
        <v>26</v>
      </c>
      <c r="B280" t="str">
        <f t="shared" si="4"/>
        <v>26-35</v>
      </c>
      <c r="C280" t="s">
        <v>43</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3">
      <c r="A281">
        <v>50</v>
      </c>
      <c r="B281" t="str">
        <f t="shared" si="4"/>
        <v>46+</v>
      </c>
      <c r="C281" t="s">
        <v>43</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3">
      <c r="A282">
        <v>53</v>
      </c>
      <c r="B282" t="str">
        <f t="shared" si="4"/>
        <v>46+</v>
      </c>
      <c r="C282" t="s">
        <v>43</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3">
      <c r="A283">
        <v>42</v>
      </c>
      <c r="B283" t="str">
        <f t="shared" si="4"/>
        <v>36-45</v>
      </c>
      <c r="C283" t="s">
        <v>43</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3">
      <c r="A284">
        <v>29</v>
      </c>
      <c r="B284" t="str">
        <f t="shared" si="4"/>
        <v>26-35</v>
      </c>
      <c r="C284" t="s">
        <v>43</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3">
      <c r="A285">
        <v>55</v>
      </c>
      <c r="B285" t="str">
        <f t="shared" si="4"/>
        <v>46+</v>
      </c>
      <c r="C285" t="s">
        <v>43</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3">
      <c r="A286">
        <v>26</v>
      </c>
      <c r="B286" t="str">
        <f t="shared" si="4"/>
        <v>26-35</v>
      </c>
      <c r="C286" t="s">
        <v>43</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3">
      <c r="A287">
        <v>37</v>
      </c>
      <c r="B287" t="str">
        <f t="shared" si="4"/>
        <v>36-45</v>
      </c>
      <c r="C287" t="s">
        <v>43</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3">
      <c r="A288">
        <v>44</v>
      </c>
      <c r="B288" t="str">
        <f t="shared" si="4"/>
        <v>36-45</v>
      </c>
      <c r="C288" t="s">
        <v>35</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3">
      <c r="A289">
        <v>38</v>
      </c>
      <c r="B289" t="str">
        <f t="shared" si="4"/>
        <v>36-45</v>
      </c>
      <c r="C289" t="s">
        <v>43</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3">
      <c r="A290">
        <v>26</v>
      </c>
      <c r="B290" t="str">
        <f t="shared" si="4"/>
        <v>26-35</v>
      </c>
      <c r="C290" t="s">
        <v>35</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3">
      <c r="A291">
        <v>28</v>
      </c>
      <c r="B291" t="str">
        <f t="shared" si="4"/>
        <v>26-35</v>
      </c>
      <c r="C291" t="s">
        <v>43</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3">
      <c r="A292">
        <v>49</v>
      </c>
      <c r="B292" t="str">
        <f t="shared" si="4"/>
        <v>46+</v>
      </c>
      <c r="C292" t="s">
        <v>43</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3">
      <c r="A293">
        <v>36</v>
      </c>
      <c r="B293" t="str">
        <f t="shared" si="4"/>
        <v>36-45</v>
      </c>
      <c r="C293" t="s">
        <v>43</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3">
      <c r="A294">
        <v>31</v>
      </c>
      <c r="B294" t="str">
        <f t="shared" si="4"/>
        <v>26-35</v>
      </c>
      <c r="C294" t="s">
        <v>43</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3">
      <c r="A295">
        <v>26</v>
      </c>
      <c r="B295" t="str">
        <f t="shared" si="4"/>
        <v>26-35</v>
      </c>
      <c r="C295" t="s">
        <v>35</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3">
      <c r="A296">
        <v>37</v>
      </c>
      <c r="B296" t="str">
        <f t="shared" si="4"/>
        <v>36-45</v>
      </c>
      <c r="C296" t="s">
        <v>43</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3">
      <c r="A297">
        <v>42</v>
      </c>
      <c r="B297" t="str">
        <f t="shared" si="4"/>
        <v>36-45</v>
      </c>
      <c r="C297" t="s">
        <v>43</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3">
      <c r="A298">
        <v>18</v>
      </c>
      <c r="B298" t="str">
        <f t="shared" si="4"/>
        <v>18-25</v>
      </c>
      <c r="C298" t="s">
        <v>35</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3">
      <c r="A299">
        <v>35</v>
      </c>
      <c r="B299" t="str">
        <f t="shared" si="4"/>
        <v>26-35</v>
      </c>
      <c r="C299" t="s">
        <v>43</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3">
      <c r="A300">
        <v>36</v>
      </c>
      <c r="B300" t="str">
        <f t="shared" si="4"/>
        <v>36-45</v>
      </c>
      <c r="C300" t="s">
        <v>43</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3">
      <c r="A301">
        <v>51</v>
      </c>
      <c r="B301" t="str">
        <f t="shared" si="4"/>
        <v>46+</v>
      </c>
      <c r="C301" t="s">
        <v>43</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3">
      <c r="A302">
        <v>41</v>
      </c>
      <c r="B302" t="str">
        <f t="shared" si="4"/>
        <v>36-45</v>
      </c>
      <c r="C302" t="s">
        <v>43</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3">
      <c r="A303">
        <v>18</v>
      </c>
      <c r="B303" t="str">
        <f t="shared" si="4"/>
        <v>18-25</v>
      </c>
      <c r="C303" t="s">
        <v>43</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3">
      <c r="A304">
        <v>28</v>
      </c>
      <c r="B304" t="str">
        <f t="shared" si="4"/>
        <v>26-35</v>
      </c>
      <c r="C304" t="s">
        <v>43</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3">
      <c r="A305">
        <v>31</v>
      </c>
      <c r="B305" t="str">
        <f t="shared" si="4"/>
        <v>26-35</v>
      </c>
      <c r="C305" t="s">
        <v>43</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3">
      <c r="A306">
        <v>39</v>
      </c>
      <c r="B306" t="str">
        <f t="shared" si="4"/>
        <v>36-45</v>
      </c>
      <c r="C306" t="s">
        <v>43</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3">
      <c r="A307">
        <v>36</v>
      </c>
      <c r="B307" t="str">
        <f t="shared" si="4"/>
        <v>36-45</v>
      </c>
      <c r="C307" t="s">
        <v>43</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3">
      <c r="A308">
        <v>32</v>
      </c>
      <c r="B308" t="str">
        <f t="shared" si="4"/>
        <v>26-35</v>
      </c>
      <c r="C308" t="s">
        <v>43</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3">
      <c r="A309">
        <v>38</v>
      </c>
      <c r="B309" t="str">
        <f t="shared" si="4"/>
        <v>36-45</v>
      </c>
      <c r="C309" t="s">
        <v>43</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3">
      <c r="A310">
        <v>58</v>
      </c>
      <c r="B310" t="str">
        <f t="shared" si="4"/>
        <v>46+</v>
      </c>
      <c r="C310" t="s">
        <v>43</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3">
      <c r="A311">
        <v>31</v>
      </c>
      <c r="B311" t="str">
        <f t="shared" si="4"/>
        <v>26-35</v>
      </c>
      <c r="C311" t="s">
        <v>43</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3">
      <c r="A312">
        <v>31</v>
      </c>
      <c r="B312" t="str">
        <f t="shared" si="4"/>
        <v>26-35</v>
      </c>
      <c r="C312" t="s">
        <v>43</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3">
      <c r="A313">
        <v>45</v>
      </c>
      <c r="B313" t="str">
        <f t="shared" si="4"/>
        <v>36-45</v>
      </c>
      <c r="C313" t="s">
        <v>43</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3">
      <c r="A314">
        <v>31</v>
      </c>
      <c r="B314" t="str">
        <f t="shared" si="4"/>
        <v>26-35</v>
      </c>
      <c r="C314" t="s">
        <v>43</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3">
      <c r="A315">
        <v>33</v>
      </c>
      <c r="B315" t="str">
        <f t="shared" si="4"/>
        <v>26-35</v>
      </c>
      <c r="C315" t="s">
        <v>43</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3">
      <c r="A316">
        <v>39</v>
      </c>
      <c r="B316" t="str">
        <f t="shared" si="4"/>
        <v>36-45</v>
      </c>
      <c r="C316" t="s">
        <v>43</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3">
      <c r="A317">
        <v>43</v>
      </c>
      <c r="B317" t="str">
        <f t="shared" si="4"/>
        <v>36-45</v>
      </c>
      <c r="C317" t="s">
        <v>43</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3">
      <c r="A318">
        <v>49</v>
      </c>
      <c r="B318" t="str">
        <f t="shared" si="4"/>
        <v>46+</v>
      </c>
      <c r="C318" t="s">
        <v>43</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3">
      <c r="A319">
        <v>52</v>
      </c>
      <c r="B319" t="str">
        <f t="shared" si="4"/>
        <v>46+</v>
      </c>
      <c r="C319" t="s">
        <v>35</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3">
      <c r="A320">
        <v>27</v>
      </c>
      <c r="B320" t="str">
        <f t="shared" si="4"/>
        <v>26-35</v>
      </c>
      <c r="C320" t="s">
        <v>43</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3">
      <c r="A321">
        <v>32</v>
      </c>
      <c r="B321" t="str">
        <f t="shared" si="4"/>
        <v>26-35</v>
      </c>
      <c r="C321" t="s">
        <v>43</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3">
      <c r="A322">
        <v>27</v>
      </c>
      <c r="B322" t="str">
        <f t="shared" si="4"/>
        <v>26-35</v>
      </c>
      <c r="C322" t="s">
        <v>43</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3">
      <c r="A323">
        <v>31</v>
      </c>
      <c r="B323" t="str">
        <f t="shared" ref="B323:B386" si="5">IF(A323&lt;=25,"18-25",IF(A323&lt;=35,"26-35",IF(A323&lt;=45,"36-45","46+")))</f>
        <v>26-35</v>
      </c>
      <c r="C323" t="s">
        <v>43</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3">
      <c r="A324">
        <v>32</v>
      </c>
      <c r="B324" t="str">
        <f t="shared" si="5"/>
        <v>26-35</v>
      </c>
      <c r="C324" t="s">
        <v>43</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3">
      <c r="A325">
        <v>28</v>
      </c>
      <c r="B325" t="str">
        <f t="shared" si="5"/>
        <v>26-35</v>
      </c>
      <c r="C325" t="s">
        <v>35</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3">
      <c r="A326">
        <v>30</v>
      </c>
      <c r="B326" t="str">
        <f t="shared" si="5"/>
        <v>26-35</v>
      </c>
      <c r="C326" t="s">
        <v>43</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3">
      <c r="A327">
        <v>31</v>
      </c>
      <c r="B327" t="str">
        <f t="shared" si="5"/>
        <v>26-35</v>
      </c>
      <c r="C327" t="s">
        <v>43</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3">
      <c r="A328">
        <v>39</v>
      </c>
      <c r="B328" t="str">
        <f t="shared" si="5"/>
        <v>36-45</v>
      </c>
      <c r="C328" t="s">
        <v>43</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3">
      <c r="A329">
        <v>39</v>
      </c>
      <c r="B329" t="str">
        <f t="shared" si="5"/>
        <v>36-45</v>
      </c>
      <c r="C329" t="s">
        <v>35</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3">
      <c r="A330">
        <v>33</v>
      </c>
      <c r="B330" t="str">
        <f t="shared" si="5"/>
        <v>26-35</v>
      </c>
      <c r="C330" t="s">
        <v>43</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3">
      <c r="A331">
        <v>47</v>
      </c>
      <c r="B331" t="str">
        <f t="shared" si="5"/>
        <v>46+</v>
      </c>
      <c r="C331" t="s">
        <v>43</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3">
      <c r="A332">
        <v>43</v>
      </c>
      <c r="B332" t="str">
        <f t="shared" si="5"/>
        <v>36-45</v>
      </c>
      <c r="C332" t="s">
        <v>43</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3">
      <c r="A333">
        <v>27</v>
      </c>
      <c r="B333" t="str">
        <f t="shared" si="5"/>
        <v>26-35</v>
      </c>
      <c r="C333" t="s">
        <v>43</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3">
      <c r="A334">
        <v>54</v>
      </c>
      <c r="B334" t="str">
        <f t="shared" si="5"/>
        <v>46+</v>
      </c>
      <c r="C334" t="s">
        <v>43</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3">
      <c r="A335">
        <v>43</v>
      </c>
      <c r="B335" t="str">
        <f t="shared" si="5"/>
        <v>36-45</v>
      </c>
      <c r="C335" t="s">
        <v>43</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3">
      <c r="A336">
        <v>45</v>
      </c>
      <c r="B336" t="str">
        <f t="shared" si="5"/>
        <v>36-45</v>
      </c>
      <c r="C336" t="s">
        <v>43</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3">
      <c r="A337">
        <v>40</v>
      </c>
      <c r="B337" t="str">
        <f t="shared" si="5"/>
        <v>36-45</v>
      </c>
      <c r="C337" t="s">
        <v>43</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3">
      <c r="A338">
        <v>29</v>
      </c>
      <c r="B338" t="str">
        <f t="shared" si="5"/>
        <v>26-35</v>
      </c>
      <c r="C338" t="s">
        <v>35</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3">
      <c r="A339">
        <v>29</v>
      </c>
      <c r="B339" t="str">
        <f t="shared" si="5"/>
        <v>26-35</v>
      </c>
      <c r="C339" t="s">
        <v>43</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3">
      <c r="A340">
        <v>30</v>
      </c>
      <c r="B340" t="str">
        <f t="shared" si="5"/>
        <v>26-35</v>
      </c>
      <c r="C340" t="s">
        <v>43</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3">
      <c r="A341">
        <v>27</v>
      </c>
      <c r="B341" t="str">
        <f t="shared" si="5"/>
        <v>26-35</v>
      </c>
      <c r="C341" t="s">
        <v>43</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3">
      <c r="A342">
        <v>37</v>
      </c>
      <c r="B342" t="str">
        <f t="shared" si="5"/>
        <v>36-45</v>
      </c>
      <c r="C342" t="s">
        <v>43</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3">
      <c r="A343">
        <v>38</v>
      </c>
      <c r="B343" t="str">
        <f t="shared" si="5"/>
        <v>36-45</v>
      </c>
      <c r="C343" t="s">
        <v>43</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3">
      <c r="A344">
        <v>31</v>
      </c>
      <c r="B344" t="str">
        <f t="shared" si="5"/>
        <v>26-35</v>
      </c>
      <c r="C344" t="s">
        <v>43</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3">
      <c r="A345">
        <v>29</v>
      </c>
      <c r="B345" t="str">
        <f t="shared" si="5"/>
        <v>26-35</v>
      </c>
      <c r="C345" t="s">
        <v>43</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3">
      <c r="A346">
        <v>35</v>
      </c>
      <c r="B346" t="str">
        <f t="shared" si="5"/>
        <v>26-35</v>
      </c>
      <c r="C346" t="s">
        <v>43</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3">
      <c r="A347">
        <v>23</v>
      </c>
      <c r="B347" t="str">
        <f t="shared" si="5"/>
        <v>18-25</v>
      </c>
      <c r="C347" t="s">
        <v>43</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3">
      <c r="A348">
        <v>41</v>
      </c>
      <c r="B348" t="str">
        <f t="shared" si="5"/>
        <v>36-45</v>
      </c>
      <c r="C348" t="s">
        <v>43</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3">
      <c r="A349">
        <v>47</v>
      </c>
      <c r="B349" t="str">
        <f t="shared" si="5"/>
        <v>46+</v>
      </c>
      <c r="C349" t="s">
        <v>43</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3">
      <c r="A350">
        <v>42</v>
      </c>
      <c r="B350" t="str">
        <f t="shared" si="5"/>
        <v>36-45</v>
      </c>
      <c r="C350" t="s">
        <v>43</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3">
      <c r="A351">
        <v>29</v>
      </c>
      <c r="B351" t="str">
        <f t="shared" si="5"/>
        <v>26-35</v>
      </c>
      <c r="C351" t="s">
        <v>43</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3">
      <c r="A352">
        <v>42</v>
      </c>
      <c r="B352" t="str">
        <f t="shared" si="5"/>
        <v>36-45</v>
      </c>
      <c r="C352" t="s">
        <v>43</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3">
      <c r="A353">
        <v>32</v>
      </c>
      <c r="B353" t="str">
        <f t="shared" si="5"/>
        <v>26-35</v>
      </c>
      <c r="C353" t="s">
        <v>43</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3">
      <c r="A354">
        <v>48</v>
      </c>
      <c r="B354" t="str">
        <f t="shared" si="5"/>
        <v>46+</v>
      </c>
      <c r="C354" t="s">
        <v>43</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3">
      <c r="A355">
        <v>37</v>
      </c>
      <c r="B355" t="str">
        <f t="shared" si="5"/>
        <v>36-45</v>
      </c>
      <c r="C355" t="s">
        <v>43</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3">
      <c r="A356">
        <v>30</v>
      </c>
      <c r="B356" t="str">
        <f t="shared" si="5"/>
        <v>26-35</v>
      </c>
      <c r="C356" t="s">
        <v>43</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3">
      <c r="A357">
        <v>26</v>
      </c>
      <c r="B357" t="str">
        <f t="shared" si="5"/>
        <v>26-35</v>
      </c>
      <c r="C357" t="s">
        <v>43</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3">
      <c r="A358">
        <v>42</v>
      </c>
      <c r="B358" t="str">
        <f t="shared" si="5"/>
        <v>36-45</v>
      </c>
      <c r="C358" t="s">
        <v>43</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3">
      <c r="A359">
        <v>21</v>
      </c>
      <c r="B359" t="str">
        <f t="shared" si="5"/>
        <v>18-25</v>
      </c>
      <c r="C359" t="s">
        <v>35</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3">
      <c r="A360">
        <v>36</v>
      </c>
      <c r="B360" t="str">
        <f t="shared" si="5"/>
        <v>36-45</v>
      </c>
      <c r="C360" t="s">
        <v>43</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3">
      <c r="A361">
        <v>36</v>
      </c>
      <c r="B361" t="str">
        <f t="shared" si="5"/>
        <v>36-45</v>
      </c>
      <c r="C361" t="s">
        <v>43</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3">
      <c r="A362">
        <v>57</v>
      </c>
      <c r="B362" t="str">
        <f t="shared" si="5"/>
        <v>46+</v>
      </c>
      <c r="C362" t="s">
        <v>43</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3">
      <c r="A363">
        <v>40</v>
      </c>
      <c r="B363" t="str">
        <f t="shared" si="5"/>
        <v>36-45</v>
      </c>
      <c r="C363" t="s">
        <v>43</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3">
      <c r="A364">
        <v>21</v>
      </c>
      <c r="B364" t="str">
        <f t="shared" si="5"/>
        <v>18-25</v>
      </c>
      <c r="C364" t="s">
        <v>43</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3">
      <c r="A365">
        <v>33</v>
      </c>
      <c r="B365" t="str">
        <f t="shared" si="5"/>
        <v>26-35</v>
      </c>
      <c r="C365" t="s">
        <v>35</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3">
      <c r="A366">
        <v>37</v>
      </c>
      <c r="B366" t="str">
        <f t="shared" si="5"/>
        <v>36-45</v>
      </c>
      <c r="C366" t="s">
        <v>43</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3">
      <c r="A367">
        <v>46</v>
      </c>
      <c r="B367" t="str">
        <f t="shared" si="5"/>
        <v>46+</v>
      </c>
      <c r="C367" t="s">
        <v>43</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3">
      <c r="A368">
        <v>41</v>
      </c>
      <c r="B368" t="str">
        <f t="shared" si="5"/>
        <v>36-45</v>
      </c>
      <c r="C368" t="s">
        <v>35</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3">
      <c r="A369">
        <v>50</v>
      </c>
      <c r="B369" t="str">
        <f t="shared" si="5"/>
        <v>46+</v>
      </c>
      <c r="C369" t="s">
        <v>43</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3">
      <c r="A370">
        <v>40</v>
      </c>
      <c r="B370" t="str">
        <f t="shared" si="5"/>
        <v>36-45</v>
      </c>
      <c r="C370" t="s">
        <v>35</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3">
      <c r="A371">
        <v>31</v>
      </c>
      <c r="B371" t="str">
        <f t="shared" si="5"/>
        <v>26-35</v>
      </c>
      <c r="C371" t="s">
        <v>43</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3">
      <c r="A372">
        <v>21</v>
      </c>
      <c r="B372" t="str">
        <f t="shared" si="5"/>
        <v>18-25</v>
      </c>
      <c r="C372" t="s">
        <v>35</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3">
      <c r="A373">
        <v>29</v>
      </c>
      <c r="B373" t="str">
        <f t="shared" si="5"/>
        <v>26-35</v>
      </c>
      <c r="C373" t="s">
        <v>43</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3">
      <c r="A374">
        <v>35</v>
      </c>
      <c r="B374" t="str">
        <f t="shared" si="5"/>
        <v>26-35</v>
      </c>
      <c r="C374" t="s">
        <v>43</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3">
      <c r="A375">
        <v>27</v>
      </c>
      <c r="B375" t="str">
        <f t="shared" si="5"/>
        <v>26-35</v>
      </c>
      <c r="C375" t="s">
        <v>43</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3">
      <c r="A376">
        <v>28</v>
      </c>
      <c r="B376" t="str">
        <f t="shared" si="5"/>
        <v>26-35</v>
      </c>
      <c r="C376" t="s">
        <v>43</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3">
      <c r="A377">
        <v>49</v>
      </c>
      <c r="B377" t="str">
        <f t="shared" si="5"/>
        <v>46+</v>
      </c>
      <c r="C377" t="s">
        <v>43</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3">
      <c r="A378">
        <v>51</v>
      </c>
      <c r="B378" t="str">
        <f t="shared" si="5"/>
        <v>46+</v>
      </c>
      <c r="C378" t="s">
        <v>43</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3">
      <c r="A379">
        <v>36</v>
      </c>
      <c r="B379" t="str">
        <f t="shared" si="5"/>
        <v>36-45</v>
      </c>
      <c r="C379" t="s">
        <v>43</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3">
      <c r="A380">
        <v>34</v>
      </c>
      <c r="B380" t="str">
        <f t="shared" si="5"/>
        <v>26-35</v>
      </c>
      <c r="C380" t="s">
        <v>35</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3">
      <c r="A381">
        <v>55</v>
      </c>
      <c r="B381" t="str">
        <f t="shared" si="5"/>
        <v>46+</v>
      </c>
      <c r="C381" t="s">
        <v>43</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3">
      <c r="A382">
        <v>24</v>
      </c>
      <c r="B382" t="str">
        <f t="shared" si="5"/>
        <v>18-25</v>
      </c>
      <c r="C382" t="s">
        <v>43</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3">
      <c r="A383">
        <v>30</v>
      </c>
      <c r="B383" t="str">
        <f t="shared" si="5"/>
        <v>26-35</v>
      </c>
      <c r="C383" t="s">
        <v>43</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3">
      <c r="A384">
        <v>26</v>
      </c>
      <c r="B384" t="str">
        <f t="shared" si="5"/>
        <v>26-35</v>
      </c>
      <c r="C384" t="s">
        <v>35</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3">
      <c r="A385">
        <v>22</v>
      </c>
      <c r="B385" t="str">
        <f t="shared" si="5"/>
        <v>18-25</v>
      </c>
      <c r="C385" t="s">
        <v>43</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3">
      <c r="A386">
        <v>36</v>
      </c>
      <c r="B386" t="str">
        <f t="shared" si="5"/>
        <v>36-45</v>
      </c>
      <c r="C386" t="s">
        <v>43</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3">
      <c r="A387">
        <v>30</v>
      </c>
      <c r="B387" t="str">
        <f t="shared" ref="B387:B450" si="6">IF(A387&lt;=25,"18-25",IF(A387&lt;=35,"26-35",IF(A387&lt;=45,"36-45","46+")))</f>
        <v>26-35</v>
      </c>
      <c r="C387" t="s">
        <v>35</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3">
      <c r="A388">
        <v>37</v>
      </c>
      <c r="B388" t="str">
        <f t="shared" si="6"/>
        <v>36-45</v>
      </c>
      <c r="C388" t="s">
        <v>43</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3">
      <c r="A389">
        <v>40</v>
      </c>
      <c r="B389" t="str">
        <f t="shared" si="6"/>
        <v>36-45</v>
      </c>
      <c r="C389" t="s">
        <v>43</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3">
      <c r="A390">
        <v>42</v>
      </c>
      <c r="B390" t="str">
        <f t="shared" si="6"/>
        <v>36-45</v>
      </c>
      <c r="C390" t="s">
        <v>43</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3">
      <c r="A391">
        <v>37</v>
      </c>
      <c r="B391" t="str">
        <f t="shared" si="6"/>
        <v>36-45</v>
      </c>
      <c r="C391" t="s">
        <v>43</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3">
      <c r="A392">
        <v>43</v>
      </c>
      <c r="B392" t="str">
        <f t="shared" si="6"/>
        <v>36-45</v>
      </c>
      <c r="C392" t="s">
        <v>43</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3">
      <c r="A393">
        <v>40</v>
      </c>
      <c r="B393" t="str">
        <f t="shared" si="6"/>
        <v>36-45</v>
      </c>
      <c r="C393" t="s">
        <v>43</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3">
      <c r="A394">
        <v>54</v>
      </c>
      <c r="B394" t="str">
        <f t="shared" si="6"/>
        <v>46+</v>
      </c>
      <c r="C394" t="s">
        <v>43</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3">
      <c r="A395">
        <v>34</v>
      </c>
      <c r="B395" t="str">
        <f t="shared" si="6"/>
        <v>26-35</v>
      </c>
      <c r="C395" t="s">
        <v>43</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3">
      <c r="A396">
        <v>31</v>
      </c>
      <c r="B396" t="str">
        <f t="shared" si="6"/>
        <v>26-35</v>
      </c>
      <c r="C396" t="s">
        <v>43</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3">
      <c r="A397">
        <v>43</v>
      </c>
      <c r="B397" t="str">
        <f t="shared" si="6"/>
        <v>36-45</v>
      </c>
      <c r="C397" t="s">
        <v>43</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3">
      <c r="A398">
        <v>43</v>
      </c>
      <c r="B398" t="str">
        <f t="shared" si="6"/>
        <v>36-45</v>
      </c>
      <c r="C398" t="s">
        <v>43</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3">
      <c r="A399">
        <v>25</v>
      </c>
      <c r="B399" t="str">
        <f t="shared" si="6"/>
        <v>18-25</v>
      </c>
      <c r="C399" t="s">
        <v>43</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3">
      <c r="A400">
        <v>37</v>
      </c>
      <c r="B400" t="str">
        <f t="shared" si="6"/>
        <v>36-45</v>
      </c>
      <c r="C400" t="s">
        <v>43</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3">
      <c r="A401">
        <v>31</v>
      </c>
      <c r="B401" t="str">
        <f t="shared" si="6"/>
        <v>26-35</v>
      </c>
      <c r="C401" t="s">
        <v>43</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3">
      <c r="A402">
        <v>39</v>
      </c>
      <c r="B402" t="str">
        <f t="shared" si="6"/>
        <v>36-45</v>
      </c>
      <c r="C402" t="s">
        <v>43</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3">
      <c r="A403">
        <v>56</v>
      </c>
      <c r="B403" t="str">
        <f t="shared" si="6"/>
        <v>46+</v>
      </c>
      <c r="C403" t="s">
        <v>43</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3">
      <c r="A404">
        <v>30</v>
      </c>
      <c r="B404" t="str">
        <f t="shared" si="6"/>
        <v>26-35</v>
      </c>
      <c r="C404" t="s">
        <v>43</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3">
      <c r="A405">
        <v>41</v>
      </c>
      <c r="B405" t="str">
        <f t="shared" si="6"/>
        <v>36-45</v>
      </c>
      <c r="C405" t="s">
        <v>43</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3">
      <c r="A406">
        <v>28</v>
      </c>
      <c r="B406" t="str">
        <f t="shared" si="6"/>
        <v>26-35</v>
      </c>
      <c r="C406" t="s">
        <v>43</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3">
      <c r="A407">
        <v>25</v>
      </c>
      <c r="B407" t="str">
        <f t="shared" si="6"/>
        <v>18-25</v>
      </c>
      <c r="C407" t="s">
        <v>35</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3">
      <c r="A408">
        <v>52</v>
      </c>
      <c r="B408" t="str">
        <f t="shared" si="6"/>
        <v>46+</v>
      </c>
      <c r="C408" t="s">
        <v>43</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3">
      <c r="A409">
        <v>45</v>
      </c>
      <c r="B409" t="str">
        <f t="shared" si="6"/>
        <v>36-45</v>
      </c>
      <c r="C409" t="s">
        <v>43</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3">
      <c r="A410">
        <v>52</v>
      </c>
      <c r="B410" t="str">
        <f t="shared" si="6"/>
        <v>46+</v>
      </c>
      <c r="C410" t="s">
        <v>43</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3">
      <c r="A411">
        <v>42</v>
      </c>
      <c r="B411" t="str">
        <f t="shared" si="6"/>
        <v>36-45</v>
      </c>
      <c r="C411" t="s">
        <v>43</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3">
      <c r="A412">
        <v>30</v>
      </c>
      <c r="B412" t="str">
        <f t="shared" si="6"/>
        <v>26-35</v>
      </c>
      <c r="C412" t="s">
        <v>43</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3">
      <c r="A413">
        <v>60</v>
      </c>
      <c r="B413" t="str">
        <f t="shared" si="6"/>
        <v>46+</v>
      </c>
      <c r="C413" t="s">
        <v>43</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3">
      <c r="A414">
        <v>46</v>
      </c>
      <c r="B414" t="str">
        <f t="shared" si="6"/>
        <v>46+</v>
      </c>
      <c r="C414" t="s">
        <v>43</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3">
      <c r="A415">
        <v>42</v>
      </c>
      <c r="B415" t="str">
        <f t="shared" si="6"/>
        <v>36-45</v>
      </c>
      <c r="C415" t="s">
        <v>43</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3">
      <c r="A416">
        <v>24</v>
      </c>
      <c r="B416" t="str">
        <f t="shared" si="6"/>
        <v>18-25</v>
      </c>
      <c r="C416" t="s">
        <v>35</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3">
      <c r="A417">
        <v>34</v>
      </c>
      <c r="B417" t="str">
        <f t="shared" si="6"/>
        <v>26-35</v>
      </c>
      <c r="C417" t="s">
        <v>35</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3">
      <c r="A418">
        <v>38</v>
      </c>
      <c r="B418" t="str">
        <f t="shared" si="6"/>
        <v>36-45</v>
      </c>
      <c r="C418" t="s">
        <v>43</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3">
      <c r="A419">
        <v>40</v>
      </c>
      <c r="B419" t="str">
        <f t="shared" si="6"/>
        <v>36-45</v>
      </c>
      <c r="C419" t="s">
        <v>43</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3">
      <c r="A420">
        <v>26</v>
      </c>
      <c r="B420" t="str">
        <f t="shared" si="6"/>
        <v>26-35</v>
      </c>
      <c r="C420" t="s">
        <v>43</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3">
      <c r="A421">
        <v>30</v>
      </c>
      <c r="B421" t="str">
        <f t="shared" si="6"/>
        <v>26-35</v>
      </c>
      <c r="C421" t="s">
        <v>43</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3">
      <c r="A422">
        <v>29</v>
      </c>
      <c r="B422" t="str">
        <f t="shared" si="6"/>
        <v>26-35</v>
      </c>
      <c r="C422" t="s">
        <v>43</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3">
      <c r="A423">
        <v>29</v>
      </c>
      <c r="B423" t="str">
        <f t="shared" si="6"/>
        <v>26-35</v>
      </c>
      <c r="C423" t="s">
        <v>35</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3">
      <c r="A424">
        <v>19</v>
      </c>
      <c r="B424" t="str">
        <f t="shared" si="6"/>
        <v>18-25</v>
      </c>
      <c r="C424" t="s">
        <v>35</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3">
      <c r="A425">
        <v>30</v>
      </c>
      <c r="B425" t="str">
        <f t="shared" si="6"/>
        <v>26-35</v>
      </c>
      <c r="C425" t="s">
        <v>43</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3">
      <c r="A426">
        <v>57</v>
      </c>
      <c r="B426" t="str">
        <f t="shared" si="6"/>
        <v>46+</v>
      </c>
      <c r="C426" t="s">
        <v>43</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3">
      <c r="A427">
        <v>50</v>
      </c>
      <c r="B427" t="str">
        <f t="shared" si="6"/>
        <v>46+</v>
      </c>
      <c r="C427" t="s">
        <v>43</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3">
      <c r="A428">
        <v>30</v>
      </c>
      <c r="B428" t="str">
        <f t="shared" si="6"/>
        <v>26-35</v>
      </c>
      <c r="C428" t="s">
        <v>43</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3">
      <c r="A429">
        <v>60</v>
      </c>
      <c r="B429" t="str">
        <f t="shared" si="6"/>
        <v>46+</v>
      </c>
      <c r="C429" t="s">
        <v>43</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3">
      <c r="A430">
        <v>47</v>
      </c>
      <c r="B430" t="str">
        <f t="shared" si="6"/>
        <v>46+</v>
      </c>
      <c r="C430" t="s">
        <v>43</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3">
      <c r="A431">
        <v>46</v>
      </c>
      <c r="B431" t="str">
        <f t="shared" si="6"/>
        <v>46+</v>
      </c>
      <c r="C431" t="s">
        <v>43</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3">
      <c r="A432">
        <v>35</v>
      </c>
      <c r="B432" t="str">
        <f t="shared" si="6"/>
        <v>26-35</v>
      </c>
      <c r="C432" t="s">
        <v>43</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3">
      <c r="A433">
        <v>54</v>
      </c>
      <c r="B433" t="str">
        <f t="shared" si="6"/>
        <v>46+</v>
      </c>
      <c r="C433" t="s">
        <v>43</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3">
      <c r="A434">
        <v>34</v>
      </c>
      <c r="B434" t="str">
        <f t="shared" si="6"/>
        <v>26-35</v>
      </c>
      <c r="C434" t="s">
        <v>43</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3">
      <c r="A435">
        <v>46</v>
      </c>
      <c r="B435" t="str">
        <f t="shared" si="6"/>
        <v>46+</v>
      </c>
      <c r="C435" t="s">
        <v>43</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3">
      <c r="A436">
        <v>31</v>
      </c>
      <c r="B436" t="str">
        <f t="shared" si="6"/>
        <v>26-35</v>
      </c>
      <c r="C436" t="s">
        <v>43</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3">
      <c r="A437">
        <v>33</v>
      </c>
      <c r="B437" t="str">
        <f t="shared" si="6"/>
        <v>26-35</v>
      </c>
      <c r="C437" t="s">
        <v>35</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3">
      <c r="A438">
        <v>33</v>
      </c>
      <c r="B438" t="str">
        <f t="shared" si="6"/>
        <v>26-35</v>
      </c>
      <c r="C438" t="s">
        <v>35</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3">
      <c r="A439">
        <v>30</v>
      </c>
      <c r="B439" t="str">
        <f t="shared" si="6"/>
        <v>26-35</v>
      </c>
      <c r="C439" t="s">
        <v>43</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3">
      <c r="A440">
        <v>35</v>
      </c>
      <c r="B440" t="str">
        <f t="shared" si="6"/>
        <v>26-35</v>
      </c>
      <c r="C440" t="s">
        <v>43</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3">
      <c r="A441">
        <v>31</v>
      </c>
      <c r="B441" t="str">
        <f t="shared" si="6"/>
        <v>26-35</v>
      </c>
      <c r="C441" t="s">
        <v>35</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3">
      <c r="A442">
        <v>34</v>
      </c>
      <c r="B442" t="str">
        <f t="shared" si="6"/>
        <v>26-35</v>
      </c>
      <c r="C442" t="s">
        <v>35</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3">
      <c r="A443">
        <v>42</v>
      </c>
      <c r="B443" t="str">
        <f t="shared" si="6"/>
        <v>36-45</v>
      </c>
      <c r="C443" t="s">
        <v>43</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3">
      <c r="A444">
        <v>36</v>
      </c>
      <c r="B444" t="str">
        <f t="shared" si="6"/>
        <v>36-45</v>
      </c>
      <c r="C444" t="s">
        <v>43</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3">
      <c r="A445">
        <v>22</v>
      </c>
      <c r="B445" t="str">
        <f t="shared" si="6"/>
        <v>18-25</v>
      </c>
      <c r="C445" t="s">
        <v>35</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3">
      <c r="A446">
        <v>48</v>
      </c>
      <c r="B446" t="str">
        <f t="shared" si="6"/>
        <v>46+</v>
      </c>
      <c r="C446" t="s">
        <v>43</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3">
      <c r="A447">
        <v>55</v>
      </c>
      <c r="B447" t="str">
        <f t="shared" si="6"/>
        <v>46+</v>
      </c>
      <c r="C447" t="s">
        <v>43</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3">
      <c r="A448">
        <v>41</v>
      </c>
      <c r="B448" t="str">
        <f t="shared" si="6"/>
        <v>36-45</v>
      </c>
      <c r="C448" t="s">
        <v>43</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3">
      <c r="A449">
        <v>35</v>
      </c>
      <c r="B449" t="str">
        <f t="shared" si="6"/>
        <v>26-35</v>
      </c>
      <c r="C449" t="s">
        <v>43</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3">
      <c r="A450">
        <v>40</v>
      </c>
      <c r="B450" t="str">
        <f t="shared" si="6"/>
        <v>36-45</v>
      </c>
      <c r="C450" t="s">
        <v>43</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3">
      <c r="A451">
        <v>39</v>
      </c>
      <c r="B451" t="str">
        <f t="shared" ref="B451:B514" si="7">IF(A451&lt;=25,"18-25",IF(A451&lt;=35,"26-35",IF(A451&lt;=45,"36-45","46+")))</f>
        <v>36-45</v>
      </c>
      <c r="C451" t="s">
        <v>43</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3">
      <c r="A452">
        <v>31</v>
      </c>
      <c r="B452" t="str">
        <f t="shared" si="7"/>
        <v>26-35</v>
      </c>
      <c r="C452" t="s">
        <v>43</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3">
      <c r="A453">
        <v>42</v>
      </c>
      <c r="B453" t="str">
        <f t="shared" si="7"/>
        <v>36-45</v>
      </c>
      <c r="C453" t="s">
        <v>43</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3">
      <c r="A454">
        <v>45</v>
      </c>
      <c r="B454" t="str">
        <f t="shared" si="7"/>
        <v>36-45</v>
      </c>
      <c r="C454" t="s">
        <v>43</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3">
      <c r="A455">
        <v>26</v>
      </c>
      <c r="B455" t="str">
        <f t="shared" si="7"/>
        <v>26-35</v>
      </c>
      <c r="C455" t="s">
        <v>35</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3">
      <c r="A456">
        <v>29</v>
      </c>
      <c r="B456" t="str">
        <f t="shared" si="7"/>
        <v>26-35</v>
      </c>
      <c r="C456" t="s">
        <v>43</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3">
      <c r="A457">
        <v>33</v>
      </c>
      <c r="B457" t="str">
        <f t="shared" si="7"/>
        <v>26-35</v>
      </c>
      <c r="C457" t="s">
        <v>43</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3">
      <c r="A458">
        <v>31</v>
      </c>
      <c r="B458" t="str">
        <f t="shared" si="7"/>
        <v>26-35</v>
      </c>
      <c r="C458" t="s">
        <v>43</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3">
      <c r="A459">
        <v>18</v>
      </c>
      <c r="B459" t="str">
        <f t="shared" si="7"/>
        <v>18-25</v>
      </c>
      <c r="C459" t="s">
        <v>35</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3">
      <c r="A460">
        <v>40</v>
      </c>
      <c r="B460" t="str">
        <f t="shared" si="7"/>
        <v>36-45</v>
      </c>
      <c r="C460" t="s">
        <v>43</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3">
      <c r="A461">
        <v>41</v>
      </c>
      <c r="B461" t="str">
        <f t="shared" si="7"/>
        <v>36-45</v>
      </c>
      <c r="C461" t="s">
        <v>43</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3">
      <c r="A462">
        <v>26</v>
      </c>
      <c r="B462" t="str">
        <f t="shared" si="7"/>
        <v>26-35</v>
      </c>
      <c r="C462" t="s">
        <v>43</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3">
      <c r="A463">
        <v>35</v>
      </c>
      <c r="B463" t="str">
        <f t="shared" si="7"/>
        <v>26-35</v>
      </c>
      <c r="C463" t="s">
        <v>43</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3">
      <c r="A464">
        <v>34</v>
      </c>
      <c r="B464" t="str">
        <f t="shared" si="7"/>
        <v>26-35</v>
      </c>
      <c r="C464" t="s">
        <v>43</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3">
      <c r="A465">
        <v>26</v>
      </c>
      <c r="B465" t="str">
        <f t="shared" si="7"/>
        <v>26-35</v>
      </c>
      <c r="C465" t="s">
        <v>35</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3">
      <c r="A466">
        <v>37</v>
      </c>
      <c r="B466" t="str">
        <f t="shared" si="7"/>
        <v>36-45</v>
      </c>
      <c r="C466" t="s">
        <v>43</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3">
      <c r="A467">
        <v>46</v>
      </c>
      <c r="B467" t="str">
        <f t="shared" si="7"/>
        <v>46+</v>
      </c>
      <c r="C467" t="s">
        <v>43</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3">
      <c r="A468">
        <v>41</v>
      </c>
      <c r="B468" t="str">
        <f t="shared" si="7"/>
        <v>36-45</v>
      </c>
      <c r="C468" t="s">
        <v>43</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3">
      <c r="A469">
        <v>37</v>
      </c>
      <c r="B469" t="str">
        <f t="shared" si="7"/>
        <v>36-45</v>
      </c>
      <c r="C469" t="s">
        <v>43</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3">
      <c r="A470">
        <v>52</v>
      </c>
      <c r="B470" t="str">
        <f t="shared" si="7"/>
        <v>46+</v>
      </c>
      <c r="C470" t="s">
        <v>43</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3">
      <c r="A471">
        <v>32</v>
      </c>
      <c r="B471" t="str">
        <f t="shared" si="7"/>
        <v>26-35</v>
      </c>
      <c r="C471" t="s">
        <v>35</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3">
      <c r="A472">
        <v>24</v>
      </c>
      <c r="B472" t="str">
        <f t="shared" si="7"/>
        <v>18-25</v>
      </c>
      <c r="C472" t="s">
        <v>43</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3">
      <c r="A473">
        <v>38</v>
      </c>
      <c r="B473" t="str">
        <f t="shared" si="7"/>
        <v>36-45</v>
      </c>
      <c r="C473" t="s">
        <v>43</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3">
      <c r="A474">
        <v>37</v>
      </c>
      <c r="B474" t="str">
        <f t="shared" si="7"/>
        <v>36-45</v>
      </c>
      <c r="C474" t="s">
        <v>43</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3">
      <c r="A475">
        <v>49</v>
      </c>
      <c r="B475" t="str">
        <f t="shared" si="7"/>
        <v>46+</v>
      </c>
      <c r="C475" t="s">
        <v>43</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3">
      <c r="A476">
        <v>24</v>
      </c>
      <c r="B476" t="str">
        <f t="shared" si="7"/>
        <v>18-25</v>
      </c>
      <c r="C476" t="s">
        <v>43</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3">
      <c r="A477">
        <v>26</v>
      </c>
      <c r="B477" t="str">
        <f t="shared" si="7"/>
        <v>26-35</v>
      </c>
      <c r="C477" t="s">
        <v>43</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3">
      <c r="A478">
        <v>24</v>
      </c>
      <c r="B478" t="str">
        <f t="shared" si="7"/>
        <v>18-25</v>
      </c>
      <c r="C478" t="s">
        <v>43</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3">
      <c r="A479">
        <v>50</v>
      </c>
      <c r="B479" t="str">
        <f t="shared" si="7"/>
        <v>46+</v>
      </c>
      <c r="C479" t="s">
        <v>43</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3">
      <c r="A480">
        <v>25</v>
      </c>
      <c r="B480" t="str">
        <f t="shared" si="7"/>
        <v>18-25</v>
      </c>
      <c r="C480" t="s">
        <v>43</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3">
      <c r="A481">
        <v>24</v>
      </c>
      <c r="B481" t="str">
        <f t="shared" si="7"/>
        <v>18-25</v>
      </c>
      <c r="C481" t="s">
        <v>35</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3">
      <c r="A482">
        <v>30</v>
      </c>
      <c r="B482" t="str">
        <f t="shared" si="7"/>
        <v>26-35</v>
      </c>
      <c r="C482" t="s">
        <v>35</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3">
      <c r="A483">
        <v>34</v>
      </c>
      <c r="B483" t="str">
        <f t="shared" si="7"/>
        <v>26-35</v>
      </c>
      <c r="C483" t="s">
        <v>43</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3">
      <c r="A484">
        <v>31</v>
      </c>
      <c r="B484" t="str">
        <f t="shared" si="7"/>
        <v>26-35</v>
      </c>
      <c r="C484" t="s">
        <v>35</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3">
      <c r="A485">
        <v>35</v>
      </c>
      <c r="B485" t="str">
        <f t="shared" si="7"/>
        <v>26-35</v>
      </c>
      <c r="C485" t="s">
        <v>43</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3">
      <c r="A486">
        <v>31</v>
      </c>
      <c r="B486" t="str">
        <f t="shared" si="7"/>
        <v>26-35</v>
      </c>
      <c r="C486" t="s">
        <v>43</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3">
      <c r="A487">
        <v>27</v>
      </c>
      <c r="B487" t="str">
        <f t="shared" si="7"/>
        <v>26-35</v>
      </c>
      <c r="C487" t="s">
        <v>43</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3">
      <c r="A488">
        <v>37</v>
      </c>
      <c r="B488" t="str">
        <f t="shared" si="7"/>
        <v>36-45</v>
      </c>
      <c r="C488" t="s">
        <v>43</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3">
      <c r="A489">
        <v>20</v>
      </c>
      <c r="B489" t="str">
        <f t="shared" si="7"/>
        <v>18-25</v>
      </c>
      <c r="C489" t="s">
        <v>43</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3">
      <c r="A490">
        <v>42</v>
      </c>
      <c r="B490" t="str">
        <f t="shared" si="7"/>
        <v>36-45</v>
      </c>
      <c r="C490" t="s">
        <v>43</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3">
      <c r="A491">
        <v>43</v>
      </c>
      <c r="B491" t="str">
        <f t="shared" si="7"/>
        <v>36-45</v>
      </c>
      <c r="C491" t="s">
        <v>43</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3">
      <c r="A492">
        <v>38</v>
      </c>
      <c r="B492" t="str">
        <f t="shared" si="7"/>
        <v>36-45</v>
      </c>
      <c r="C492" t="s">
        <v>43</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3">
      <c r="A493">
        <v>43</v>
      </c>
      <c r="B493" t="str">
        <f t="shared" si="7"/>
        <v>36-45</v>
      </c>
      <c r="C493" t="s">
        <v>43</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3">
      <c r="A494">
        <v>48</v>
      </c>
      <c r="B494" t="str">
        <f t="shared" si="7"/>
        <v>46+</v>
      </c>
      <c r="C494" t="s">
        <v>43</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3">
      <c r="A495">
        <v>44</v>
      </c>
      <c r="B495" t="str">
        <f t="shared" si="7"/>
        <v>36-45</v>
      </c>
      <c r="C495" t="s">
        <v>43</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3">
      <c r="A496">
        <v>34</v>
      </c>
      <c r="B496" t="str">
        <f t="shared" si="7"/>
        <v>26-35</v>
      </c>
      <c r="C496" t="s">
        <v>43</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3">
      <c r="A497">
        <v>27</v>
      </c>
      <c r="B497" t="str">
        <f t="shared" si="7"/>
        <v>26-35</v>
      </c>
      <c r="C497" t="s">
        <v>35</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3">
      <c r="A498">
        <v>21</v>
      </c>
      <c r="B498" t="str">
        <f t="shared" si="7"/>
        <v>18-25</v>
      </c>
      <c r="C498" t="s">
        <v>43</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3">
      <c r="A499">
        <v>44</v>
      </c>
      <c r="B499" t="str">
        <f t="shared" si="7"/>
        <v>36-45</v>
      </c>
      <c r="C499" t="s">
        <v>43</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3">
      <c r="A500">
        <v>22</v>
      </c>
      <c r="B500" t="str">
        <f t="shared" si="7"/>
        <v>18-25</v>
      </c>
      <c r="C500" t="s">
        <v>43</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3">
      <c r="A501">
        <v>33</v>
      </c>
      <c r="B501" t="str">
        <f t="shared" si="7"/>
        <v>26-35</v>
      </c>
      <c r="C501" t="s">
        <v>43</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3">
      <c r="A502">
        <v>32</v>
      </c>
      <c r="B502" t="str">
        <f t="shared" si="7"/>
        <v>26-35</v>
      </c>
      <c r="C502" t="s">
        <v>43</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3">
      <c r="A503">
        <v>30</v>
      </c>
      <c r="B503" t="str">
        <f t="shared" si="7"/>
        <v>26-35</v>
      </c>
      <c r="C503" t="s">
        <v>43</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3">
      <c r="A504">
        <v>53</v>
      </c>
      <c r="B504" t="str">
        <f t="shared" si="7"/>
        <v>46+</v>
      </c>
      <c r="C504" t="s">
        <v>43</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3">
      <c r="A505">
        <v>34</v>
      </c>
      <c r="B505" t="str">
        <f t="shared" si="7"/>
        <v>26-35</v>
      </c>
      <c r="C505" t="s">
        <v>43</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3">
      <c r="A506">
        <v>45</v>
      </c>
      <c r="B506" t="str">
        <f t="shared" si="7"/>
        <v>36-45</v>
      </c>
      <c r="C506" t="s">
        <v>35</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3">
      <c r="A507">
        <v>26</v>
      </c>
      <c r="B507" t="str">
        <f t="shared" si="7"/>
        <v>26-35</v>
      </c>
      <c r="C507" t="s">
        <v>43</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3">
      <c r="A508">
        <v>37</v>
      </c>
      <c r="B508" t="str">
        <f t="shared" si="7"/>
        <v>36-45</v>
      </c>
      <c r="C508" t="s">
        <v>43</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3">
      <c r="A509">
        <v>29</v>
      </c>
      <c r="B509" t="str">
        <f t="shared" si="7"/>
        <v>26-35</v>
      </c>
      <c r="C509" t="s">
        <v>43</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3">
      <c r="A510">
        <v>35</v>
      </c>
      <c r="B510" t="str">
        <f t="shared" si="7"/>
        <v>26-35</v>
      </c>
      <c r="C510" t="s">
        <v>43</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3">
      <c r="A511">
        <v>33</v>
      </c>
      <c r="B511" t="str">
        <f t="shared" si="7"/>
        <v>26-35</v>
      </c>
      <c r="C511" t="s">
        <v>43</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3">
      <c r="A512">
        <v>54</v>
      </c>
      <c r="B512" t="str">
        <f t="shared" si="7"/>
        <v>46+</v>
      </c>
      <c r="C512" t="s">
        <v>43</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3">
      <c r="A513">
        <v>36</v>
      </c>
      <c r="B513" t="str">
        <f t="shared" si="7"/>
        <v>36-45</v>
      </c>
      <c r="C513" t="s">
        <v>43</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3">
      <c r="A514">
        <v>27</v>
      </c>
      <c r="B514" t="str">
        <f t="shared" si="7"/>
        <v>26-35</v>
      </c>
      <c r="C514" t="s">
        <v>43</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3">
      <c r="A515">
        <v>20</v>
      </c>
      <c r="B515" t="str">
        <f t="shared" ref="B515:B578" si="8">IF(A515&lt;=25,"18-25",IF(A515&lt;=35,"26-35",IF(A515&lt;=45,"36-45","46+")))</f>
        <v>18-25</v>
      </c>
      <c r="C515" t="s">
        <v>35</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3">
      <c r="A516">
        <v>33</v>
      </c>
      <c r="B516" t="str">
        <f t="shared" si="8"/>
        <v>26-35</v>
      </c>
      <c r="C516" t="s">
        <v>35</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3">
      <c r="A517">
        <v>35</v>
      </c>
      <c r="B517" t="str">
        <f t="shared" si="8"/>
        <v>26-35</v>
      </c>
      <c r="C517" t="s">
        <v>43</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3">
      <c r="A518">
        <v>23</v>
      </c>
      <c r="B518" t="str">
        <f t="shared" si="8"/>
        <v>18-25</v>
      </c>
      <c r="C518" t="s">
        <v>43</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3">
      <c r="A519">
        <v>25</v>
      </c>
      <c r="B519" t="str">
        <f t="shared" si="8"/>
        <v>18-25</v>
      </c>
      <c r="C519" t="s">
        <v>43</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3">
      <c r="A520">
        <v>38</v>
      </c>
      <c r="B520" t="str">
        <f t="shared" si="8"/>
        <v>36-45</v>
      </c>
      <c r="C520" t="s">
        <v>43</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3">
      <c r="A521">
        <v>29</v>
      </c>
      <c r="B521" t="str">
        <f t="shared" si="8"/>
        <v>26-35</v>
      </c>
      <c r="C521" t="s">
        <v>43</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3">
      <c r="A522">
        <v>48</v>
      </c>
      <c r="B522" t="str">
        <f t="shared" si="8"/>
        <v>46+</v>
      </c>
      <c r="C522" t="s">
        <v>43</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3">
      <c r="A523">
        <v>27</v>
      </c>
      <c r="B523" t="str">
        <f t="shared" si="8"/>
        <v>26-35</v>
      </c>
      <c r="C523" t="s">
        <v>43</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3">
      <c r="A524">
        <v>37</v>
      </c>
      <c r="B524" t="str">
        <f t="shared" si="8"/>
        <v>36-45</v>
      </c>
      <c r="C524" t="s">
        <v>43</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3">
      <c r="A525">
        <v>50</v>
      </c>
      <c r="B525" t="str">
        <f t="shared" si="8"/>
        <v>46+</v>
      </c>
      <c r="C525" t="s">
        <v>43</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3">
      <c r="A526">
        <v>34</v>
      </c>
      <c r="B526" t="str">
        <f t="shared" si="8"/>
        <v>26-35</v>
      </c>
      <c r="C526" t="s">
        <v>43</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3">
      <c r="A527">
        <v>24</v>
      </c>
      <c r="B527" t="str">
        <f t="shared" si="8"/>
        <v>18-25</v>
      </c>
      <c r="C527" t="s">
        <v>35</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3">
      <c r="A528">
        <v>39</v>
      </c>
      <c r="B528" t="str">
        <f t="shared" si="8"/>
        <v>36-45</v>
      </c>
      <c r="C528" t="s">
        <v>43</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3">
      <c r="A529">
        <v>32</v>
      </c>
      <c r="B529" t="str">
        <f t="shared" si="8"/>
        <v>26-35</v>
      </c>
      <c r="C529" t="s">
        <v>43</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3">
      <c r="A530">
        <v>50</v>
      </c>
      <c r="B530" t="str">
        <f t="shared" si="8"/>
        <v>46+</v>
      </c>
      <c r="C530" t="s">
        <v>35</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3">
      <c r="A531">
        <v>38</v>
      </c>
      <c r="B531" t="str">
        <f t="shared" si="8"/>
        <v>36-45</v>
      </c>
      <c r="C531" t="s">
        <v>43</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3">
      <c r="A532">
        <v>27</v>
      </c>
      <c r="B532" t="str">
        <f t="shared" si="8"/>
        <v>26-35</v>
      </c>
      <c r="C532" t="s">
        <v>43</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3">
      <c r="A533">
        <v>32</v>
      </c>
      <c r="B533" t="str">
        <f t="shared" si="8"/>
        <v>26-35</v>
      </c>
      <c r="C533" t="s">
        <v>43</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3">
      <c r="A534">
        <v>47</v>
      </c>
      <c r="B534" t="str">
        <f t="shared" si="8"/>
        <v>46+</v>
      </c>
      <c r="C534" t="s">
        <v>43</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3">
      <c r="A535">
        <v>40</v>
      </c>
      <c r="B535" t="str">
        <f t="shared" si="8"/>
        <v>36-45</v>
      </c>
      <c r="C535" t="s">
        <v>43</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3">
      <c r="A536">
        <v>53</v>
      </c>
      <c r="B536" t="str">
        <f t="shared" si="8"/>
        <v>46+</v>
      </c>
      <c r="C536" t="s">
        <v>43</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3">
      <c r="A537">
        <v>41</v>
      </c>
      <c r="B537" t="str">
        <f t="shared" si="8"/>
        <v>36-45</v>
      </c>
      <c r="C537" t="s">
        <v>43</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3">
      <c r="A538">
        <v>60</v>
      </c>
      <c r="B538" t="str">
        <f t="shared" si="8"/>
        <v>46+</v>
      </c>
      <c r="C538" t="s">
        <v>43</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3">
      <c r="A539">
        <v>27</v>
      </c>
      <c r="B539" t="str">
        <f t="shared" si="8"/>
        <v>26-35</v>
      </c>
      <c r="C539" t="s">
        <v>43</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3">
      <c r="A540">
        <v>41</v>
      </c>
      <c r="B540" t="str">
        <f t="shared" si="8"/>
        <v>36-45</v>
      </c>
      <c r="C540" t="s">
        <v>43</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3">
      <c r="A541">
        <v>50</v>
      </c>
      <c r="B541" t="str">
        <f t="shared" si="8"/>
        <v>46+</v>
      </c>
      <c r="C541" t="s">
        <v>43</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3">
      <c r="A542">
        <v>28</v>
      </c>
      <c r="B542" t="str">
        <f t="shared" si="8"/>
        <v>26-35</v>
      </c>
      <c r="C542" t="s">
        <v>35</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3">
      <c r="A543">
        <v>36</v>
      </c>
      <c r="B543" t="str">
        <f t="shared" si="8"/>
        <v>36-45</v>
      </c>
      <c r="C543" t="s">
        <v>43</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3">
      <c r="A544">
        <v>38</v>
      </c>
      <c r="B544" t="str">
        <f t="shared" si="8"/>
        <v>36-45</v>
      </c>
      <c r="C544" t="s">
        <v>43</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3">
      <c r="A545">
        <v>44</v>
      </c>
      <c r="B545" t="str">
        <f t="shared" si="8"/>
        <v>36-45</v>
      </c>
      <c r="C545" t="s">
        <v>43</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3">
      <c r="A546">
        <v>47</v>
      </c>
      <c r="B546" t="str">
        <f t="shared" si="8"/>
        <v>46+</v>
      </c>
      <c r="C546" t="s">
        <v>43</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3">
      <c r="A547">
        <v>30</v>
      </c>
      <c r="B547" t="str">
        <f t="shared" si="8"/>
        <v>26-35</v>
      </c>
      <c r="C547" t="s">
        <v>43</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3">
      <c r="A548">
        <v>29</v>
      </c>
      <c r="B548" t="str">
        <f t="shared" si="8"/>
        <v>26-35</v>
      </c>
      <c r="C548" t="s">
        <v>43</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3">
      <c r="A549">
        <v>42</v>
      </c>
      <c r="B549" t="str">
        <f t="shared" si="8"/>
        <v>36-45</v>
      </c>
      <c r="C549" t="s">
        <v>35</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3">
      <c r="A550">
        <v>43</v>
      </c>
      <c r="B550" t="str">
        <f t="shared" si="8"/>
        <v>36-45</v>
      </c>
      <c r="C550" t="s">
        <v>43</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3">
      <c r="A551">
        <v>34</v>
      </c>
      <c r="B551" t="str">
        <f t="shared" si="8"/>
        <v>26-35</v>
      </c>
      <c r="C551" t="s">
        <v>43</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3">
      <c r="A552">
        <v>23</v>
      </c>
      <c r="B552" t="str">
        <f t="shared" si="8"/>
        <v>18-25</v>
      </c>
      <c r="C552" t="s">
        <v>43</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3">
      <c r="A553">
        <v>39</v>
      </c>
      <c r="B553" t="str">
        <f t="shared" si="8"/>
        <v>36-45</v>
      </c>
      <c r="C553" t="s">
        <v>43</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3">
      <c r="A554">
        <v>56</v>
      </c>
      <c r="B554" t="str">
        <f t="shared" si="8"/>
        <v>46+</v>
      </c>
      <c r="C554" t="s">
        <v>43</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3">
      <c r="A555">
        <v>40</v>
      </c>
      <c r="B555" t="str">
        <f t="shared" si="8"/>
        <v>36-45</v>
      </c>
      <c r="C555" t="s">
        <v>43</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3">
      <c r="A556">
        <v>27</v>
      </c>
      <c r="B556" t="str">
        <f t="shared" si="8"/>
        <v>26-35</v>
      </c>
      <c r="C556" t="s">
        <v>43</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3">
      <c r="A557">
        <v>29</v>
      </c>
      <c r="B557" t="str">
        <f t="shared" si="8"/>
        <v>26-35</v>
      </c>
      <c r="C557" t="s">
        <v>43</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3">
      <c r="A558">
        <v>53</v>
      </c>
      <c r="B558" t="str">
        <f t="shared" si="8"/>
        <v>46+</v>
      </c>
      <c r="C558" t="s">
        <v>43</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3">
      <c r="A559">
        <v>35</v>
      </c>
      <c r="B559" t="str">
        <f t="shared" si="8"/>
        <v>26-35</v>
      </c>
      <c r="C559" t="s">
        <v>43</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3">
      <c r="A560">
        <v>32</v>
      </c>
      <c r="B560" t="str">
        <f t="shared" si="8"/>
        <v>26-35</v>
      </c>
      <c r="C560" t="s">
        <v>43</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3">
      <c r="A561">
        <v>38</v>
      </c>
      <c r="B561" t="str">
        <f t="shared" si="8"/>
        <v>36-45</v>
      </c>
      <c r="C561" t="s">
        <v>43</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3">
      <c r="A562">
        <v>34</v>
      </c>
      <c r="B562" t="str">
        <f t="shared" si="8"/>
        <v>26-35</v>
      </c>
      <c r="C562" t="s">
        <v>43</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3">
      <c r="A563">
        <v>52</v>
      </c>
      <c r="B563" t="str">
        <f t="shared" si="8"/>
        <v>46+</v>
      </c>
      <c r="C563" t="s">
        <v>43</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3">
      <c r="A564">
        <v>33</v>
      </c>
      <c r="B564" t="str">
        <f t="shared" si="8"/>
        <v>26-35</v>
      </c>
      <c r="C564" t="s">
        <v>35</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3">
      <c r="A565">
        <v>25</v>
      </c>
      <c r="B565" t="str">
        <f t="shared" si="8"/>
        <v>18-25</v>
      </c>
      <c r="C565" t="s">
        <v>43</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3">
      <c r="A566">
        <v>45</v>
      </c>
      <c r="B566" t="str">
        <f t="shared" si="8"/>
        <v>36-45</v>
      </c>
      <c r="C566" t="s">
        <v>43</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3">
      <c r="A567">
        <v>23</v>
      </c>
      <c r="B567" t="str">
        <f t="shared" si="8"/>
        <v>18-25</v>
      </c>
      <c r="C567" t="s">
        <v>43</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3">
      <c r="A568">
        <v>47</v>
      </c>
      <c r="B568" t="str">
        <f t="shared" si="8"/>
        <v>46+</v>
      </c>
      <c r="C568" t="s">
        <v>35</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3">
      <c r="A569">
        <v>34</v>
      </c>
      <c r="B569" t="str">
        <f t="shared" si="8"/>
        <v>26-35</v>
      </c>
      <c r="C569" t="s">
        <v>43</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3">
      <c r="A570">
        <v>55</v>
      </c>
      <c r="B570" t="str">
        <f t="shared" si="8"/>
        <v>46+</v>
      </c>
      <c r="C570" t="s">
        <v>35</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3">
      <c r="A571">
        <v>36</v>
      </c>
      <c r="B571" t="str">
        <f t="shared" si="8"/>
        <v>36-45</v>
      </c>
      <c r="C571" t="s">
        <v>43</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3">
      <c r="A572">
        <v>52</v>
      </c>
      <c r="B572" t="str">
        <f t="shared" si="8"/>
        <v>46+</v>
      </c>
      <c r="C572" t="s">
        <v>43</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3">
      <c r="A573">
        <v>26</v>
      </c>
      <c r="B573" t="str">
        <f t="shared" si="8"/>
        <v>26-35</v>
      </c>
      <c r="C573" t="s">
        <v>43</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3">
      <c r="A574">
        <v>29</v>
      </c>
      <c r="B574" t="str">
        <f t="shared" si="8"/>
        <v>26-35</v>
      </c>
      <c r="C574" t="s">
        <v>43</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3">
      <c r="A575">
        <v>26</v>
      </c>
      <c r="B575" t="str">
        <f t="shared" si="8"/>
        <v>26-35</v>
      </c>
      <c r="C575" t="s">
        <v>35</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3">
      <c r="A576">
        <v>34</v>
      </c>
      <c r="B576" t="str">
        <f t="shared" si="8"/>
        <v>26-35</v>
      </c>
      <c r="C576" t="s">
        <v>43</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3">
      <c r="A577">
        <v>54</v>
      </c>
      <c r="B577" t="str">
        <f t="shared" si="8"/>
        <v>46+</v>
      </c>
      <c r="C577" t="s">
        <v>43</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3">
      <c r="A578">
        <v>27</v>
      </c>
      <c r="B578" t="str">
        <f t="shared" si="8"/>
        <v>26-35</v>
      </c>
      <c r="C578" t="s">
        <v>43</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3">
      <c r="A579">
        <v>37</v>
      </c>
      <c r="B579" t="str">
        <f t="shared" ref="B579:B642" si="9">IF(A579&lt;=25,"18-25",IF(A579&lt;=35,"26-35",IF(A579&lt;=45,"36-45","46+")))</f>
        <v>36-45</v>
      </c>
      <c r="C579" t="s">
        <v>43</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3">
      <c r="A580">
        <v>38</v>
      </c>
      <c r="B580" t="str">
        <f t="shared" si="9"/>
        <v>36-45</v>
      </c>
      <c r="C580" t="s">
        <v>43</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3">
      <c r="A581">
        <v>34</v>
      </c>
      <c r="B581" t="str">
        <f t="shared" si="9"/>
        <v>26-35</v>
      </c>
      <c r="C581" t="s">
        <v>43</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3">
      <c r="A582">
        <v>35</v>
      </c>
      <c r="B582" t="str">
        <f t="shared" si="9"/>
        <v>26-35</v>
      </c>
      <c r="C582" t="s">
        <v>43</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3">
      <c r="A583">
        <v>30</v>
      </c>
      <c r="B583" t="str">
        <f t="shared" si="9"/>
        <v>26-35</v>
      </c>
      <c r="C583" t="s">
        <v>43</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3">
      <c r="A584">
        <v>40</v>
      </c>
      <c r="B584" t="str">
        <f t="shared" si="9"/>
        <v>36-45</v>
      </c>
      <c r="C584" t="s">
        <v>43</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3">
      <c r="A585">
        <v>34</v>
      </c>
      <c r="B585" t="str">
        <f t="shared" si="9"/>
        <v>26-35</v>
      </c>
      <c r="C585" t="s">
        <v>43</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3">
      <c r="A586">
        <v>42</v>
      </c>
      <c r="B586" t="str">
        <f t="shared" si="9"/>
        <v>36-45</v>
      </c>
      <c r="C586" t="s">
        <v>43</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3">
      <c r="A587">
        <v>23</v>
      </c>
      <c r="B587" t="str">
        <f t="shared" si="9"/>
        <v>18-25</v>
      </c>
      <c r="C587" t="s">
        <v>35</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3">
      <c r="A588">
        <v>24</v>
      </c>
      <c r="B588" t="str">
        <f t="shared" si="9"/>
        <v>18-25</v>
      </c>
      <c r="C588" t="s">
        <v>43</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3">
      <c r="A589">
        <v>52</v>
      </c>
      <c r="B589" t="str">
        <f t="shared" si="9"/>
        <v>46+</v>
      </c>
      <c r="C589" t="s">
        <v>43</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3">
      <c r="A590">
        <v>50</v>
      </c>
      <c r="B590" t="str">
        <f t="shared" si="9"/>
        <v>46+</v>
      </c>
      <c r="C590" t="s">
        <v>43</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3">
      <c r="A591">
        <v>29</v>
      </c>
      <c r="B591" t="str">
        <f t="shared" si="9"/>
        <v>26-35</v>
      </c>
      <c r="C591" t="s">
        <v>35</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3">
      <c r="A592">
        <v>33</v>
      </c>
      <c r="B592" t="str">
        <f t="shared" si="9"/>
        <v>26-35</v>
      </c>
      <c r="C592" t="s">
        <v>43</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3">
      <c r="A593">
        <v>33</v>
      </c>
      <c r="B593" t="str">
        <f t="shared" si="9"/>
        <v>26-35</v>
      </c>
      <c r="C593" t="s">
        <v>35</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3">
      <c r="A594">
        <v>47</v>
      </c>
      <c r="B594" t="str">
        <f t="shared" si="9"/>
        <v>46+</v>
      </c>
      <c r="C594" t="s">
        <v>43</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3">
      <c r="A595">
        <v>36</v>
      </c>
      <c r="B595" t="str">
        <f t="shared" si="9"/>
        <v>36-45</v>
      </c>
      <c r="C595" t="s">
        <v>43</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3">
      <c r="A596">
        <v>29</v>
      </c>
      <c r="B596" t="str">
        <f t="shared" si="9"/>
        <v>26-35</v>
      </c>
      <c r="C596" t="s">
        <v>43</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3">
      <c r="A597">
        <v>58</v>
      </c>
      <c r="B597" t="str">
        <f t="shared" si="9"/>
        <v>46+</v>
      </c>
      <c r="C597" t="s">
        <v>35</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3">
      <c r="A598">
        <v>35</v>
      </c>
      <c r="B598" t="str">
        <f t="shared" si="9"/>
        <v>26-35</v>
      </c>
      <c r="C598" t="s">
        <v>43</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3">
      <c r="A599">
        <v>42</v>
      </c>
      <c r="B599" t="str">
        <f t="shared" si="9"/>
        <v>36-45</v>
      </c>
      <c r="C599" t="s">
        <v>43</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3">
      <c r="A600">
        <v>28</v>
      </c>
      <c r="B600" t="str">
        <f t="shared" si="9"/>
        <v>26-35</v>
      </c>
      <c r="C600" t="s">
        <v>35</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3">
      <c r="A601">
        <v>36</v>
      </c>
      <c r="B601" t="str">
        <f t="shared" si="9"/>
        <v>36-45</v>
      </c>
      <c r="C601" t="s">
        <v>43</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3">
      <c r="A602">
        <v>32</v>
      </c>
      <c r="B602" t="str">
        <f t="shared" si="9"/>
        <v>26-35</v>
      </c>
      <c r="C602" t="s">
        <v>43</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3">
      <c r="A603">
        <v>40</v>
      </c>
      <c r="B603" t="str">
        <f t="shared" si="9"/>
        <v>36-45</v>
      </c>
      <c r="C603" t="s">
        <v>43</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3">
      <c r="A604">
        <v>30</v>
      </c>
      <c r="B604" t="str">
        <f t="shared" si="9"/>
        <v>26-35</v>
      </c>
      <c r="C604" t="s">
        <v>43</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3">
      <c r="A605">
        <v>45</v>
      </c>
      <c r="B605" t="str">
        <f t="shared" si="9"/>
        <v>36-45</v>
      </c>
      <c r="C605" t="s">
        <v>43</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3">
      <c r="A606">
        <v>42</v>
      </c>
      <c r="B606" t="str">
        <f t="shared" si="9"/>
        <v>36-45</v>
      </c>
      <c r="C606" t="s">
        <v>43</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3">
      <c r="A607">
        <v>38</v>
      </c>
      <c r="B607" t="str">
        <f t="shared" si="9"/>
        <v>36-45</v>
      </c>
      <c r="C607" t="s">
        <v>43</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3">
      <c r="A608">
        <v>34</v>
      </c>
      <c r="B608" t="str">
        <f t="shared" si="9"/>
        <v>26-35</v>
      </c>
      <c r="C608" t="s">
        <v>43</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3">
      <c r="A609">
        <v>49</v>
      </c>
      <c r="B609" t="str">
        <f t="shared" si="9"/>
        <v>46+</v>
      </c>
      <c r="C609" t="s">
        <v>35</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3">
      <c r="A610">
        <v>55</v>
      </c>
      <c r="B610" t="str">
        <f t="shared" si="9"/>
        <v>46+</v>
      </c>
      <c r="C610" t="s">
        <v>35</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3">
      <c r="A611">
        <v>43</v>
      </c>
      <c r="B611" t="str">
        <f t="shared" si="9"/>
        <v>36-45</v>
      </c>
      <c r="C611" t="s">
        <v>43</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3">
      <c r="A612">
        <v>27</v>
      </c>
      <c r="B612" t="str">
        <f t="shared" si="9"/>
        <v>26-35</v>
      </c>
      <c r="C612" t="s">
        <v>43</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3">
      <c r="A613">
        <v>35</v>
      </c>
      <c r="B613" t="str">
        <f t="shared" si="9"/>
        <v>26-35</v>
      </c>
      <c r="C613" t="s">
        <v>43</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3">
      <c r="A614">
        <v>28</v>
      </c>
      <c r="B614" t="str">
        <f t="shared" si="9"/>
        <v>26-35</v>
      </c>
      <c r="C614" t="s">
        <v>43</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3">
      <c r="A615">
        <v>34</v>
      </c>
      <c r="B615" t="str">
        <f t="shared" si="9"/>
        <v>26-35</v>
      </c>
      <c r="C615" t="s">
        <v>43</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3">
      <c r="A616">
        <v>26</v>
      </c>
      <c r="B616" t="str">
        <f t="shared" si="9"/>
        <v>26-35</v>
      </c>
      <c r="C616" t="s">
        <v>35</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3">
      <c r="A617">
        <v>27</v>
      </c>
      <c r="B617" t="str">
        <f t="shared" si="9"/>
        <v>26-35</v>
      </c>
      <c r="C617" t="s">
        <v>43</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3">
      <c r="A618">
        <v>51</v>
      </c>
      <c r="B618" t="str">
        <f t="shared" si="9"/>
        <v>46+</v>
      </c>
      <c r="C618" t="s">
        <v>43</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3">
      <c r="A619">
        <v>44</v>
      </c>
      <c r="B619" t="str">
        <f t="shared" si="9"/>
        <v>36-45</v>
      </c>
      <c r="C619" t="s">
        <v>43</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3">
      <c r="A620">
        <v>25</v>
      </c>
      <c r="B620" t="str">
        <f t="shared" si="9"/>
        <v>18-25</v>
      </c>
      <c r="C620" t="s">
        <v>43</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3">
      <c r="A621">
        <v>33</v>
      </c>
      <c r="B621" t="str">
        <f t="shared" si="9"/>
        <v>26-35</v>
      </c>
      <c r="C621" t="s">
        <v>43</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3">
      <c r="A622">
        <v>35</v>
      </c>
      <c r="B622" t="str">
        <f t="shared" si="9"/>
        <v>26-35</v>
      </c>
      <c r="C622" t="s">
        <v>43</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3">
      <c r="A623">
        <v>36</v>
      </c>
      <c r="B623" t="str">
        <f t="shared" si="9"/>
        <v>36-45</v>
      </c>
      <c r="C623" t="s">
        <v>43</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3">
      <c r="A624">
        <v>32</v>
      </c>
      <c r="B624" t="str">
        <f t="shared" si="9"/>
        <v>26-35</v>
      </c>
      <c r="C624" t="s">
        <v>43</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3">
      <c r="A625">
        <v>30</v>
      </c>
      <c r="B625" t="str">
        <f t="shared" si="9"/>
        <v>26-35</v>
      </c>
      <c r="C625" t="s">
        <v>43</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3">
      <c r="A626">
        <v>53</v>
      </c>
      <c r="B626" t="str">
        <f t="shared" si="9"/>
        <v>46+</v>
      </c>
      <c r="C626" t="s">
        <v>43</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3">
      <c r="A627">
        <v>45</v>
      </c>
      <c r="B627" t="str">
        <f t="shared" si="9"/>
        <v>36-45</v>
      </c>
      <c r="C627" t="s">
        <v>43</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3">
      <c r="A628">
        <v>32</v>
      </c>
      <c r="B628" t="str">
        <f t="shared" si="9"/>
        <v>26-35</v>
      </c>
      <c r="C628" t="s">
        <v>43</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3">
      <c r="A629">
        <v>52</v>
      </c>
      <c r="B629" t="str">
        <f t="shared" si="9"/>
        <v>46+</v>
      </c>
      <c r="C629" t="s">
        <v>43</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3">
      <c r="A630">
        <v>37</v>
      </c>
      <c r="B630" t="str">
        <f t="shared" si="9"/>
        <v>36-45</v>
      </c>
      <c r="C630" t="s">
        <v>43</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3">
      <c r="A631">
        <v>28</v>
      </c>
      <c r="B631" t="str">
        <f t="shared" si="9"/>
        <v>26-35</v>
      </c>
      <c r="C631" t="s">
        <v>43</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3">
      <c r="A632">
        <v>22</v>
      </c>
      <c r="B632" t="str">
        <f t="shared" si="9"/>
        <v>18-25</v>
      </c>
      <c r="C632" t="s">
        <v>43</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3">
      <c r="A633">
        <v>44</v>
      </c>
      <c r="B633" t="str">
        <f t="shared" si="9"/>
        <v>36-45</v>
      </c>
      <c r="C633" t="s">
        <v>43</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3">
      <c r="A634">
        <v>42</v>
      </c>
      <c r="B634" t="str">
        <f t="shared" si="9"/>
        <v>36-45</v>
      </c>
      <c r="C634" t="s">
        <v>43</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3">
      <c r="A635">
        <v>36</v>
      </c>
      <c r="B635" t="str">
        <f t="shared" si="9"/>
        <v>36-45</v>
      </c>
      <c r="C635" t="s">
        <v>43</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3">
      <c r="A636">
        <v>25</v>
      </c>
      <c r="B636" t="str">
        <f t="shared" si="9"/>
        <v>18-25</v>
      </c>
      <c r="C636" t="s">
        <v>43</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3">
      <c r="A637">
        <v>35</v>
      </c>
      <c r="B637" t="str">
        <f t="shared" si="9"/>
        <v>26-35</v>
      </c>
      <c r="C637" t="s">
        <v>43</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3">
      <c r="A638">
        <v>35</v>
      </c>
      <c r="B638" t="str">
        <f t="shared" si="9"/>
        <v>26-35</v>
      </c>
      <c r="C638" t="s">
        <v>35</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3">
      <c r="A639">
        <v>32</v>
      </c>
      <c r="B639" t="str">
        <f t="shared" si="9"/>
        <v>26-35</v>
      </c>
      <c r="C639" t="s">
        <v>43</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3">
      <c r="A640">
        <v>25</v>
      </c>
      <c r="B640" t="str">
        <f t="shared" si="9"/>
        <v>18-25</v>
      </c>
      <c r="C640" t="s">
        <v>43</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3">
      <c r="A641">
        <v>49</v>
      </c>
      <c r="B641" t="str">
        <f t="shared" si="9"/>
        <v>46+</v>
      </c>
      <c r="C641" t="s">
        <v>43</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3">
      <c r="A642">
        <v>24</v>
      </c>
      <c r="B642" t="str">
        <f t="shared" si="9"/>
        <v>18-25</v>
      </c>
      <c r="C642" t="s">
        <v>43</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3">
      <c r="A643">
        <v>32</v>
      </c>
      <c r="B643" t="str">
        <f t="shared" ref="B643:B706" si="10">IF(A643&lt;=25,"18-25",IF(A643&lt;=35,"26-35",IF(A643&lt;=45,"36-45","46+")))</f>
        <v>26-35</v>
      </c>
      <c r="C643" t="s">
        <v>43</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3">
      <c r="A644">
        <v>38</v>
      </c>
      <c r="B644" t="str">
        <f t="shared" si="10"/>
        <v>36-45</v>
      </c>
      <c r="C644" t="s">
        <v>43</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3">
      <c r="A645">
        <v>42</v>
      </c>
      <c r="B645" t="str">
        <f t="shared" si="10"/>
        <v>36-45</v>
      </c>
      <c r="C645" t="s">
        <v>43</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3">
      <c r="A646">
        <v>31</v>
      </c>
      <c r="B646" t="str">
        <f t="shared" si="10"/>
        <v>26-35</v>
      </c>
      <c r="C646" t="s">
        <v>43</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3">
      <c r="A647">
        <v>29</v>
      </c>
      <c r="B647" t="str">
        <f t="shared" si="10"/>
        <v>26-35</v>
      </c>
      <c r="C647" t="s">
        <v>35</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3">
      <c r="A648">
        <v>53</v>
      </c>
      <c r="B648" t="str">
        <f t="shared" si="10"/>
        <v>46+</v>
      </c>
      <c r="C648" t="s">
        <v>43</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3">
      <c r="A649">
        <v>35</v>
      </c>
      <c r="B649" t="str">
        <f t="shared" si="10"/>
        <v>26-35</v>
      </c>
      <c r="C649" t="s">
        <v>43</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3">
      <c r="A650">
        <v>37</v>
      </c>
      <c r="B650" t="str">
        <f t="shared" si="10"/>
        <v>36-45</v>
      </c>
      <c r="C650" t="s">
        <v>43</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3">
      <c r="A651">
        <v>53</v>
      </c>
      <c r="B651" t="str">
        <f t="shared" si="10"/>
        <v>46+</v>
      </c>
      <c r="C651" t="s">
        <v>43</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3">
      <c r="A652">
        <v>43</v>
      </c>
      <c r="B652" t="str">
        <f t="shared" si="10"/>
        <v>36-45</v>
      </c>
      <c r="C652" t="s">
        <v>43</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3">
      <c r="A653">
        <v>47</v>
      </c>
      <c r="B653" t="str">
        <f t="shared" si="10"/>
        <v>46+</v>
      </c>
      <c r="C653" t="s">
        <v>43</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3">
      <c r="A654">
        <v>37</v>
      </c>
      <c r="B654" t="str">
        <f t="shared" si="10"/>
        <v>36-45</v>
      </c>
      <c r="C654" t="s">
        <v>43</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3">
      <c r="A655">
        <v>50</v>
      </c>
      <c r="B655" t="str">
        <f t="shared" si="10"/>
        <v>46+</v>
      </c>
      <c r="C655" t="s">
        <v>43</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3">
      <c r="A656">
        <v>39</v>
      </c>
      <c r="B656" t="str">
        <f t="shared" si="10"/>
        <v>36-45</v>
      </c>
      <c r="C656" t="s">
        <v>43</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3">
      <c r="A657">
        <v>33</v>
      </c>
      <c r="B657" t="str">
        <f t="shared" si="10"/>
        <v>26-35</v>
      </c>
      <c r="C657" t="s">
        <v>43</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3">
      <c r="A658">
        <v>32</v>
      </c>
      <c r="B658" t="str">
        <f t="shared" si="10"/>
        <v>26-35</v>
      </c>
      <c r="C658" t="s">
        <v>35</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3">
      <c r="A659">
        <v>29</v>
      </c>
      <c r="B659" t="str">
        <f t="shared" si="10"/>
        <v>26-35</v>
      </c>
      <c r="C659" t="s">
        <v>43</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3">
      <c r="A660">
        <v>44</v>
      </c>
      <c r="B660" t="str">
        <f t="shared" si="10"/>
        <v>36-45</v>
      </c>
      <c r="C660" t="s">
        <v>43</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3">
      <c r="A661">
        <v>28</v>
      </c>
      <c r="B661" t="str">
        <f t="shared" si="10"/>
        <v>26-35</v>
      </c>
      <c r="C661" t="s">
        <v>43</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3">
      <c r="A662">
        <v>58</v>
      </c>
      <c r="B662" t="str">
        <f t="shared" si="10"/>
        <v>46+</v>
      </c>
      <c r="C662" t="s">
        <v>35</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3">
      <c r="A663">
        <v>43</v>
      </c>
      <c r="B663" t="str">
        <f t="shared" si="10"/>
        <v>36-45</v>
      </c>
      <c r="C663" t="s">
        <v>43</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3">
      <c r="A664">
        <v>20</v>
      </c>
      <c r="B664" t="str">
        <f t="shared" si="10"/>
        <v>18-25</v>
      </c>
      <c r="C664" t="s">
        <v>35</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3">
      <c r="A665">
        <v>21</v>
      </c>
      <c r="B665" t="str">
        <f t="shared" si="10"/>
        <v>18-25</v>
      </c>
      <c r="C665" t="s">
        <v>35</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3">
      <c r="A666">
        <v>36</v>
      </c>
      <c r="B666" t="str">
        <f t="shared" si="10"/>
        <v>36-45</v>
      </c>
      <c r="C666" t="s">
        <v>43</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3">
      <c r="A667">
        <v>47</v>
      </c>
      <c r="B667" t="str">
        <f t="shared" si="10"/>
        <v>46+</v>
      </c>
      <c r="C667" t="s">
        <v>43</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3">
      <c r="A668">
        <v>22</v>
      </c>
      <c r="B668" t="str">
        <f t="shared" si="10"/>
        <v>18-25</v>
      </c>
      <c r="C668" t="s">
        <v>35</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3">
      <c r="A669">
        <v>41</v>
      </c>
      <c r="B669" t="str">
        <f t="shared" si="10"/>
        <v>36-45</v>
      </c>
      <c r="C669" t="s">
        <v>35</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3">
      <c r="A670">
        <v>28</v>
      </c>
      <c r="B670" t="str">
        <f t="shared" si="10"/>
        <v>26-35</v>
      </c>
      <c r="C670" t="s">
        <v>43</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3">
      <c r="A671">
        <v>39</v>
      </c>
      <c r="B671" t="str">
        <f t="shared" si="10"/>
        <v>36-45</v>
      </c>
      <c r="C671" t="s">
        <v>35</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3">
      <c r="A672">
        <v>27</v>
      </c>
      <c r="B672" t="str">
        <f t="shared" si="10"/>
        <v>26-35</v>
      </c>
      <c r="C672" t="s">
        <v>43</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3">
      <c r="A673">
        <v>34</v>
      </c>
      <c r="B673" t="str">
        <f t="shared" si="10"/>
        <v>26-35</v>
      </c>
      <c r="C673" t="s">
        <v>43</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3">
      <c r="A674">
        <v>42</v>
      </c>
      <c r="B674" t="str">
        <f t="shared" si="10"/>
        <v>36-45</v>
      </c>
      <c r="C674" t="s">
        <v>43</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3">
      <c r="A675">
        <v>33</v>
      </c>
      <c r="B675" t="str">
        <f t="shared" si="10"/>
        <v>26-35</v>
      </c>
      <c r="C675" t="s">
        <v>43</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3">
      <c r="A676">
        <v>58</v>
      </c>
      <c r="B676" t="str">
        <f t="shared" si="10"/>
        <v>46+</v>
      </c>
      <c r="C676" t="s">
        <v>43</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3">
      <c r="A677">
        <v>31</v>
      </c>
      <c r="B677" t="str">
        <f t="shared" si="10"/>
        <v>26-35</v>
      </c>
      <c r="C677" t="s">
        <v>43</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3">
      <c r="A678">
        <v>35</v>
      </c>
      <c r="B678" t="str">
        <f t="shared" si="10"/>
        <v>26-35</v>
      </c>
      <c r="C678" t="s">
        <v>43</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3">
      <c r="A679">
        <v>49</v>
      </c>
      <c r="B679" t="str">
        <f t="shared" si="10"/>
        <v>46+</v>
      </c>
      <c r="C679" t="s">
        <v>43</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3">
      <c r="A680">
        <v>48</v>
      </c>
      <c r="B680" t="str">
        <f t="shared" si="10"/>
        <v>46+</v>
      </c>
      <c r="C680" t="s">
        <v>43</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3">
      <c r="A681">
        <v>31</v>
      </c>
      <c r="B681" t="str">
        <f t="shared" si="10"/>
        <v>26-35</v>
      </c>
      <c r="C681" t="s">
        <v>43</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3">
      <c r="A682">
        <v>36</v>
      </c>
      <c r="B682" t="str">
        <f t="shared" si="10"/>
        <v>36-45</v>
      </c>
      <c r="C682" t="s">
        <v>43</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3">
      <c r="A683">
        <v>38</v>
      </c>
      <c r="B683" t="str">
        <f t="shared" si="10"/>
        <v>36-45</v>
      </c>
      <c r="C683" t="s">
        <v>43</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3">
      <c r="A684">
        <v>32</v>
      </c>
      <c r="B684" t="str">
        <f t="shared" si="10"/>
        <v>26-35</v>
      </c>
      <c r="C684" t="s">
        <v>43</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3">
      <c r="A685">
        <v>25</v>
      </c>
      <c r="B685" t="str">
        <f t="shared" si="10"/>
        <v>18-25</v>
      </c>
      <c r="C685" t="s">
        <v>35</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3">
      <c r="A686">
        <v>40</v>
      </c>
      <c r="B686" t="str">
        <f t="shared" si="10"/>
        <v>36-45</v>
      </c>
      <c r="C686" t="s">
        <v>43</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3">
      <c r="A687">
        <v>26</v>
      </c>
      <c r="B687" t="str">
        <f t="shared" si="10"/>
        <v>26-35</v>
      </c>
      <c r="C687" t="s">
        <v>43</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3">
      <c r="A688">
        <v>41</v>
      </c>
      <c r="B688" t="str">
        <f t="shared" si="10"/>
        <v>36-45</v>
      </c>
      <c r="C688" t="s">
        <v>43</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3">
      <c r="A689">
        <v>36</v>
      </c>
      <c r="B689" t="str">
        <f t="shared" si="10"/>
        <v>36-45</v>
      </c>
      <c r="C689" t="s">
        <v>43</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3">
      <c r="A690">
        <v>19</v>
      </c>
      <c r="B690" t="str">
        <f t="shared" si="10"/>
        <v>18-25</v>
      </c>
      <c r="C690" t="s">
        <v>35</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3">
      <c r="A691">
        <v>20</v>
      </c>
      <c r="B691" t="str">
        <f t="shared" si="10"/>
        <v>18-25</v>
      </c>
      <c r="C691" t="s">
        <v>35</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3">
      <c r="A692">
        <v>31</v>
      </c>
      <c r="B692" t="str">
        <f t="shared" si="10"/>
        <v>26-35</v>
      </c>
      <c r="C692" t="s">
        <v>43</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3">
      <c r="A693">
        <v>40</v>
      </c>
      <c r="B693" t="str">
        <f t="shared" si="10"/>
        <v>36-45</v>
      </c>
      <c r="C693" t="s">
        <v>43</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3">
      <c r="A694">
        <v>32</v>
      </c>
      <c r="B694" t="str">
        <f t="shared" si="10"/>
        <v>26-35</v>
      </c>
      <c r="C694" t="s">
        <v>43</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3">
      <c r="A695">
        <v>36</v>
      </c>
      <c r="B695" t="str">
        <f t="shared" si="10"/>
        <v>36-45</v>
      </c>
      <c r="C695" t="s">
        <v>35</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3">
      <c r="A696">
        <v>33</v>
      </c>
      <c r="B696" t="str">
        <f t="shared" si="10"/>
        <v>26-35</v>
      </c>
      <c r="C696" t="s">
        <v>43</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3">
      <c r="A697">
        <v>37</v>
      </c>
      <c r="B697" t="str">
        <f t="shared" si="10"/>
        <v>36-45</v>
      </c>
      <c r="C697" t="s">
        <v>35</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3">
      <c r="A698">
        <v>45</v>
      </c>
      <c r="B698" t="str">
        <f t="shared" si="10"/>
        <v>36-45</v>
      </c>
      <c r="C698" t="s">
        <v>43</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3">
      <c r="A699">
        <v>29</v>
      </c>
      <c r="B699" t="str">
        <f t="shared" si="10"/>
        <v>26-35</v>
      </c>
      <c r="C699" t="s">
        <v>43</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3">
      <c r="A700">
        <v>35</v>
      </c>
      <c r="B700" t="str">
        <f t="shared" si="10"/>
        <v>26-35</v>
      </c>
      <c r="C700" t="s">
        <v>43</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3">
      <c r="A701">
        <v>52</v>
      </c>
      <c r="B701" t="str">
        <f t="shared" si="10"/>
        <v>46+</v>
      </c>
      <c r="C701" t="s">
        <v>43</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3">
      <c r="A702">
        <v>58</v>
      </c>
      <c r="B702" t="str">
        <f t="shared" si="10"/>
        <v>46+</v>
      </c>
      <c r="C702" t="s">
        <v>35</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3">
      <c r="A703">
        <v>53</v>
      </c>
      <c r="B703" t="str">
        <f t="shared" si="10"/>
        <v>46+</v>
      </c>
      <c r="C703" t="s">
        <v>43</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3">
      <c r="A704">
        <v>30</v>
      </c>
      <c r="B704" t="str">
        <f t="shared" si="10"/>
        <v>26-35</v>
      </c>
      <c r="C704" t="s">
        <v>43</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3">
      <c r="A705">
        <v>38</v>
      </c>
      <c r="B705" t="str">
        <f t="shared" si="10"/>
        <v>36-45</v>
      </c>
      <c r="C705" t="s">
        <v>43</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3">
      <c r="A706">
        <v>35</v>
      </c>
      <c r="B706" t="str">
        <f t="shared" si="10"/>
        <v>26-35</v>
      </c>
      <c r="C706" t="s">
        <v>43</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3">
      <c r="A707">
        <v>39</v>
      </c>
      <c r="B707" t="str">
        <f t="shared" ref="B707:B770" si="11">IF(A707&lt;=25,"18-25",IF(A707&lt;=35,"26-35",IF(A707&lt;=45,"36-45","46+")))</f>
        <v>36-45</v>
      </c>
      <c r="C707" t="s">
        <v>43</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3">
      <c r="A708">
        <v>40</v>
      </c>
      <c r="B708" t="str">
        <f t="shared" si="11"/>
        <v>36-45</v>
      </c>
      <c r="C708" t="s">
        <v>35</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3">
      <c r="A709">
        <v>47</v>
      </c>
      <c r="B709" t="str">
        <f t="shared" si="11"/>
        <v>46+</v>
      </c>
      <c r="C709" t="s">
        <v>43</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3">
      <c r="A710">
        <v>36</v>
      </c>
      <c r="B710" t="str">
        <f t="shared" si="11"/>
        <v>36-45</v>
      </c>
      <c r="C710" t="s">
        <v>43</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3">
      <c r="A711">
        <v>31</v>
      </c>
      <c r="B711" t="str">
        <f t="shared" si="11"/>
        <v>26-35</v>
      </c>
      <c r="C711" t="s">
        <v>35</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3">
      <c r="A712">
        <v>33</v>
      </c>
      <c r="B712" t="str">
        <f t="shared" si="11"/>
        <v>26-35</v>
      </c>
      <c r="C712" t="s">
        <v>43</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3">
      <c r="A713">
        <v>29</v>
      </c>
      <c r="B713" t="str">
        <f t="shared" si="11"/>
        <v>26-35</v>
      </c>
      <c r="C713" t="s">
        <v>35</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3">
      <c r="A714">
        <v>33</v>
      </c>
      <c r="B714" t="str">
        <f t="shared" si="11"/>
        <v>26-35</v>
      </c>
      <c r="C714" t="s">
        <v>43</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3">
      <c r="A715">
        <v>45</v>
      </c>
      <c r="B715" t="str">
        <f t="shared" si="11"/>
        <v>36-45</v>
      </c>
      <c r="C715" t="s">
        <v>43</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3">
      <c r="A716">
        <v>50</v>
      </c>
      <c r="B716" t="str">
        <f t="shared" si="11"/>
        <v>46+</v>
      </c>
      <c r="C716" t="s">
        <v>43</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3">
      <c r="A717">
        <v>33</v>
      </c>
      <c r="B717" t="str">
        <f t="shared" si="11"/>
        <v>26-35</v>
      </c>
      <c r="C717" t="s">
        <v>43</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3">
      <c r="A718">
        <v>41</v>
      </c>
      <c r="B718" t="str">
        <f t="shared" si="11"/>
        <v>36-45</v>
      </c>
      <c r="C718" t="s">
        <v>43</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3">
      <c r="A719">
        <v>27</v>
      </c>
      <c r="B719" t="str">
        <f t="shared" si="11"/>
        <v>26-35</v>
      </c>
      <c r="C719" t="s">
        <v>43</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3">
      <c r="A720">
        <v>45</v>
      </c>
      <c r="B720" t="str">
        <f t="shared" si="11"/>
        <v>36-45</v>
      </c>
      <c r="C720" t="s">
        <v>43</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3">
      <c r="A721">
        <v>47</v>
      </c>
      <c r="B721" t="str">
        <f t="shared" si="11"/>
        <v>46+</v>
      </c>
      <c r="C721" t="s">
        <v>43</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3">
      <c r="A722">
        <v>30</v>
      </c>
      <c r="B722" t="str">
        <f t="shared" si="11"/>
        <v>26-35</v>
      </c>
      <c r="C722" t="s">
        <v>35</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3">
      <c r="A723">
        <v>50</v>
      </c>
      <c r="B723" t="str">
        <f t="shared" si="11"/>
        <v>46+</v>
      </c>
      <c r="C723" t="s">
        <v>43</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3">
      <c r="A724">
        <v>38</v>
      </c>
      <c r="B724" t="str">
        <f t="shared" si="11"/>
        <v>36-45</v>
      </c>
      <c r="C724" t="s">
        <v>43</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3">
      <c r="A725">
        <v>46</v>
      </c>
      <c r="B725" t="str">
        <f t="shared" si="11"/>
        <v>46+</v>
      </c>
      <c r="C725" t="s">
        <v>43</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3">
      <c r="A726">
        <v>24</v>
      </c>
      <c r="B726" t="str">
        <f t="shared" si="11"/>
        <v>18-25</v>
      </c>
      <c r="C726" t="s">
        <v>43</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3">
      <c r="A727">
        <v>35</v>
      </c>
      <c r="B727" t="str">
        <f t="shared" si="11"/>
        <v>26-35</v>
      </c>
      <c r="C727" t="s">
        <v>35</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3">
      <c r="A728">
        <v>31</v>
      </c>
      <c r="B728" t="str">
        <f t="shared" si="11"/>
        <v>26-35</v>
      </c>
      <c r="C728" t="s">
        <v>43</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3">
      <c r="A729">
        <v>18</v>
      </c>
      <c r="B729" t="str">
        <f t="shared" si="11"/>
        <v>18-25</v>
      </c>
      <c r="C729" t="s">
        <v>43</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3">
      <c r="A730">
        <v>54</v>
      </c>
      <c r="B730" t="str">
        <f t="shared" si="11"/>
        <v>46+</v>
      </c>
      <c r="C730" t="s">
        <v>43</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3">
      <c r="A731">
        <v>35</v>
      </c>
      <c r="B731" t="str">
        <f t="shared" si="11"/>
        <v>26-35</v>
      </c>
      <c r="C731" t="s">
        <v>43</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3">
      <c r="A732">
        <v>30</v>
      </c>
      <c r="B732" t="str">
        <f t="shared" si="11"/>
        <v>26-35</v>
      </c>
      <c r="C732" t="s">
        <v>43</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3">
      <c r="A733">
        <v>20</v>
      </c>
      <c r="B733" t="str">
        <f t="shared" si="11"/>
        <v>18-25</v>
      </c>
      <c r="C733" t="s">
        <v>35</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3">
      <c r="A734">
        <v>30</v>
      </c>
      <c r="B734" t="str">
        <f t="shared" si="11"/>
        <v>26-35</v>
      </c>
      <c r="C734" t="s">
        <v>35</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3">
      <c r="A735">
        <v>26</v>
      </c>
      <c r="B735" t="str">
        <f t="shared" si="11"/>
        <v>26-35</v>
      </c>
      <c r="C735" t="s">
        <v>43</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3">
      <c r="A736">
        <v>22</v>
      </c>
      <c r="B736" t="str">
        <f t="shared" si="11"/>
        <v>18-25</v>
      </c>
      <c r="C736" t="s">
        <v>43</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3">
      <c r="A737">
        <v>48</v>
      </c>
      <c r="B737" t="str">
        <f t="shared" si="11"/>
        <v>46+</v>
      </c>
      <c r="C737" t="s">
        <v>43</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3">
      <c r="A738">
        <v>48</v>
      </c>
      <c r="B738" t="str">
        <f t="shared" si="11"/>
        <v>46+</v>
      </c>
      <c r="C738" t="s">
        <v>43</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3">
      <c r="A739">
        <v>41</v>
      </c>
      <c r="B739" t="str">
        <f t="shared" si="11"/>
        <v>36-45</v>
      </c>
      <c r="C739" t="s">
        <v>43</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3">
      <c r="A740">
        <v>39</v>
      </c>
      <c r="B740" t="str">
        <f t="shared" si="11"/>
        <v>36-45</v>
      </c>
      <c r="C740" t="s">
        <v>43</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3">
      <c r="A741">
        <v>27</v>
      </c>
      <c r="B741" t="str">
        <f t="shared" si="11"/>
        <v>26-35</v>
      </c>
      <c r="C741" t="s">
        <v>43</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3">
      <c r="A742">
        <v>35</v>
      </c>
      <c r="B742" t="str">
        <f t="shared" si="11"/>
        <v>26-35</v>
      </c>
      <c r="C742" t="s">
        <v>43</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3">
      <c r="A743">
        <v>42</v>
      </c>
      <c r="B743" t="str">
        <f t="shared" si="11"/>
        <v>36-45</v>
      </c>
      <c r="C743" t="s">
        <v>43</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3">
      <c r="A744">
        <v>50</v>
      </c>
      <c r="B744" t="str">
        <f t="shared" si="11"/>
        <v>46+</v>
      </c>
      <c r="C744" t="s">
        <v>43</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3">
      <c r="A745">
        <v>59</v>
      </c>
      <c r="B745" t="str">
        <f t="shared" si="11"/>
        <v>46+</v>
      </c>
      <c r="C745" t="s">
        <v>43</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3">
      <c r="A746">
        <v>37</v>
      </c>
      <c r="B746" t="str">
        <f t="shared" si="11"/>
        <v>36-45</v>
      </c>
      <c r="C746" t="s">
        <v>35</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3">
      <c r="A747">
        <v>55</v>
      </c>
      <c r="B747" t="str">
        <f t="shared" si="11"/>
        <v>46+</v>
      </c>
      <c r="C747" t="s">
        <v>43</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3">
      <c r="A748">
        <v>41</v>
      </c>
      <c r="B748" t="str">
        <f t="shared" si="11"/>
        <v>36-45</v>
      </c>
      <c r="C748" t="s">
        <v>43</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3">
      <c r="A749">
        <v>38</v>
      </c>
      <c r="B749" t="str">
        <f t="shared" si="11"/>
        <v>36-45</v>
      </c>
      <c r="C749" t="s">
        <v>43</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3">
      <c r="A750">
        <v>26</v>
      </c>
      <c r="B750" t="str">
        <f t="shared" si="11"/>
        <v>26-35</v>
      </c>
      <c r="C750" t="s">
        <v>35</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3">
      <c r="A751">
        <v>52</v>
      </c>
      <c r="B751" t="str">
        <f t="shared" si="11"/>
        <v>46+</v>
      </c>
      <c r="C751" t="s">
        <v>35</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3">
      <c r="A752">
        <v>44</v>
      </c>
      <c r="B752" t="str">
        <f t="shared" si="11"/>
        <v>36-45</v>
      </c>
      <c r="C752" t="s">
        <v>43</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3">
      <c r="A753">
        <v>50</v>
      </c>
      <c r="B753" t="str">
        <f t="shared" si="11"/>
        <v>46+</v>
      </c>
      <c r="C753" t="s">
        <v>43</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3">
      <c r="A754">
        <v>36</v>
      </c>
      <c r="B754" t="str">
        <f t="shared" si="11"/>
        <v>36-45</v>
      </c>
      <c r="C754" t="s">
        <v>35</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3">
      <c r="A755">
        <v>39</v>
      </c>
      <c r="B755" t="str">
        <f t="shared" si="11"/>
        <v>36-45</v>
      </c>
      <c r="C755" t="s">
        <v>43</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3">
      <c r="A756">
        <v>33</v>
      </c>
      <c r="B756" t="str">
        <f t="shared" si="11"/>
        <v>26-35</v>
      </c>
      <c r="C756" t="s">
        <v>43</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3">
      <c r="A757">
        <v>45</v>
      </c>
      <c r="B757" t="str">
        <f t="shared" si="11"/>
        <v>36-45</v>
      </c>
      <c r="C757" t="s">
        <v>43</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3">
      <c r="A758">
        <v>32</v>
      </c>
      <c r="B758" t="str">
        <f t="shared" si="11"/>
        <v>26-35</v>
      </c>
      <c r="C758" t="s">
        <v>43</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3">
      <c r="A759">
        <v>34</v>
      </c>
      <c r="B759" t="str">
        <f t="shared" si="11"/>
        <v>26-35</v>
      </c>
      <c r="C759" t="s">
        <v>43</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3">
      <c r="A760">
        <v>59</v>
      </c>
      <c r="B760" t="str">
        <f t="shared" si="11"/>
        <v>46+</v>
      </c>
      <c r="C760" t="s">
        <v>43</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3">
      <c r="A761">
        <v>45</v>
      </c>
      <c r="B761" t="str">
        <f t="shared" si="11"/>
        <v>36-45</v>
      </c>
      <c r="C761" t="s">
        <v>43</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3">
      <c r="A762">
        <v>53</v>
      </c>
      <c r="B762" t="str">
        <f t="shared" si="11"/>
        <v>46+</v>
      </c>
      <c r="C762" t="s">
        <v>43</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3">
      <c r="A763">
        <v>36</v>
      </c>
      <c r="B763" t="str">
        <f t="shared" si="11"/>
        <v>36-45</v>
      </c>
      <c r="C763" t="s">
        <v>35</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3">
      <c r="A764">
        <v>26</v>
      </c>
      <c r="B764" t="str">
        <f t="shared" si="11"/>
        <v>26-35</v>
      </c>
      <c r="C764" t="s">
        <v>35</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3">
      <c r="A765">
        <v>34</v>
      </c>
      <c r="B765" t="str">
        <f t="shared" si="11"/>
        <v>26-35</v>
      </c>
      <c r="C765" t="s">
        <v>43</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3">
      <c r="A766">
        <v>28</v>
      </c>
      <c r="B766" t="str">
        <f t="shared" si="11"/>
        <v>26-35</v>
      </c>
      <c r="C766" t="s">
        <v>43</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3">
      <c r="A767">
        <v>38</v>
      </c>
      <c r="B767" t="str">
        <f t="shared" si="11"/>
        <v>36-45</v>
      </c>
      <c r="C767" t="s">
        <v>43</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3">
      <c r="A768">
        <v>50</v>
      </c>
      <c r="B768" t="str">
        <f t="shared" si="11"/>
        <v>46+</v>
      </c>
      <c r="C768" t="s">
        <v>43</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3">
      <c r="A769">
        <v>37</v>
      </c>
      <c r="B769" t="str">
        <f t="shared" si="11"/>
        <v>36-45</v>
      </c>
      <c r="C769" t="s">
        <v>43</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3">
      <c r="A770">
        <v>40</v>
      </c>
      <c r="B770" t="str">
        <f t="shared" si="11"/>
        <v>36-45</v>
      </c>
      <c r="C770" t="s">
        <v>43</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3">
      <c r="A771">
        <v>26</v>
      </c>
      <c r="B771" t="str">
        <f t="shared" ref="B771:B834" si="12">IF(A771&lt;=25,"18-25",IF(A771&lt;=35,"26-35",IF(A771&lt;=45,"36-45","46+")))</f>
        <v>26-35</v>
      </c>
      <c r="C771" t="s">
        <v>43</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3">
      <c r="A772">
        <v>46</v>
      </c>
      <c r="B772" t="str">
        <f t="shared" si="12"/>
        <v>46+</v>
      </c>
      <c r="C772" t="s">
        <v>43</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3">
      <c r="A773">
        <v>54</v>
      </c>
      <c r="B773" t="str">
        <f t="shared" si="12"/>
        <v>46+</v>
      </c>
      <c r="C773" t="s">
        <v>43</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3">
      <c r="A774">
        <v>56</v>
      </c>
      <c r="B774" t="str">
        <f t="shared" si="12"/>
        <v>46+</v>
      </c>
      <c r="C774" t="s">
        <v>43</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3">
      <c r="A775">
        <v>36</v>
      </c>
      <c r="B775" t="str">
        <f t="shared" si="12"/>
        <v>36-45</v>
      </c>
      <c r="C775" t="s">
        <v>43</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3">
      <c r="A776">
        <v>55</v>
      </c>
      <c r="B776" t="str">
        <f t="shared" si="12"/>
        <v>46+</v>
      </c>
      <c r="C776" t="s">
        <v>43</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3">
      <c r="A777">
        <v>43</v>
      </c>
      <c r="B777" t="str">
        <f t="shared" si="12"/>
        <v>36-45</v>
      </c>
      <c r="C777" t="s">
        <v>43</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3">
      <c r="A778">
        <v>20</v>
      </c>
      <c r="B778" t="str">
        <f t="shared" si="12"/>
        <v>18-25</v>
      </c>
      <c r="C778" t="s">
        <v>35</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3">
      <c r="A779">
        <v>21</v>
      </c>
      <c r="B779" t="str">
        <f t="shared" si="12"/>
        <v>18-25</v>
      </c>
      <c r="C779" t="s">
        <v>35</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3">
      <c r="A780">
        <v>46</v>
      </c>
      <c r="B780" t="str">
        <f t="shared" si="12"/>
        <v>46+</v>
      </c>
      <c r="C780" t="s">
        <v>43</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3">
      <c r="A781">
        <v>51</v>
      </c>
      <c r="B781" t="str">
        <f t="shared" si="12"/>
        <v>46+</v>
      </c>
      <c r="C781" t="s">
        <v>35</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3">
      <c r="A782">
        <v>28</v>
      </c>
      <c r="B782" t="str">
        <f t="shared" si="12"/>
        <v>26-35</v>
      </c>
      <c r="C782" t="s">
        <v>35</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3">
      <c r="A783">
        <v>26</v>
      </c>
      <c r="B783" t="str">
        <f t="shared" si="12"/>
        <v>26-35</v>
      </c>
      <c r="C783" t="s">
        <v>43</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3">
      <c r="A784">
        <v>30</v>
      </c>
      <c r="B784" t="str">
        <f t="shared" si="12"/>
        <v>26-35</v>
      </c>
      <c r="C784" t="s">
        <v>43</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3">
      <c r="A785">
        <v>41</v>
      </c>
      <c r="B785" t="str">
        <f t="shared" si="12"/>
        <v>36-45</v>
      </c>
      <c r="C785" t="s">
        <v>43</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3">
      <c r="A786">
        <v>38</v>
      </c>
      <c r="B786" t="str">
        <f t="shared" si="12"/>
        <v>36-45</v>
      </c>
      <c r="C786" t="s">
        <v>43</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3">
      <c r="A787">
        <v>40</v>
      </c>
      <c r="B787" t="str">
        <f t="shared" si="12"/>
        <v>36-45</v>
      </c>
      <c r="C787" t="s">
        <v>43</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3">
      <c r="A788">
        <v>27</v>
      </c>
      <c r="B788" t="str">
        <f t="shared" si="12"/>
        <v>26-35</v>
      </c>
      <c r="C788" t="s">
        <v>43</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3">
      <c r="A789">
        <v>55</v>
      </c>
      <c r="B789" t="str">
        <f t="shared" si="12"/>
        <v>46+</v>
      </c>
      <c r="C789" t="s">
        <v>43</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3">
      <c r="A790">
        <v>28</v>
      </c>
      <c r="B790" t="str">
        <f t="shared" si="12"/>
        <v>26-35</v>
      </c>
      <c r="C790" t="s">
        <v>43</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3">
      <c r="A791">
        <v>44</v>
      </c>
      <c r="B791" t="str">
        <f t="shared" si="12"/>
        <v>36-45</v>
      </c>
      <c r="C791" t="s">
        <v>35</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3">
      <c r="A792">
        <v>33</v>
      </c>
      <c r="B792" t="str">
        <f t="shared" si="12"/>
        <v>26-35</v>
      </c>
      <c r="C792" t="s">
        <v>43</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3">
      <c r="A793">
        <v>35</v>
      </c>
      <c r="B793" t="str">
        <f t="shared" si="12"/>
        <v>26-35</v>
      </c>
      <c r="C793" t="s">
        <v>35</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3">
      <c r="A794">
        <v>33</v>
      </c>
      <c r="B794" t="str">
        <f t="shared" si="12"/>
        <v>26-35</v>
      </c>
      <c r="C794" t="s">
        <v>35</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3">
      <c r="A795">
        <v>28</v>
      </c>
      <c r="B795" t="str">
        <f t="shared" si="12"/>
        <v>26-35</v>
      </c>
      <c r="C795" t="s">
        <v>43</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3">
      <c r="A796">
        <v>34</v>
      </c>
      <c r="B796" t="str">
        <f t="shared" si="12"/>
        <v>26-35</v>
      </c>
      <c r="C796" t="s">
        <v>43</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3">
      <c r="A797">
        <v>37</v>
      </c>
      <c r="B797" t="str">
        <f t="shared" si="12"/>
        <v>36-45</v>
      </c>
      <c r="C797" t="s">
        <v>43</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3">
      <c r="A798">
        <v>25</v>
      </c>
      <c r="B798" t="str">
        <f t="shared" si="12"/>
        <v>18-25</v>
      </c>
      <c r="C798" t="s">
        <v>35</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3">
      <c r="A799">
        <v>26</v>
      </c>
      <c r="B799" t="str">
        <f t="shared" si="12"/>
        <v>26-35</v>
      </c>
      <c r="C799" t="s">
        <v>35</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3">
      <c r="A800">
        <v>33</v>
      </c>
      <c r="B800" t="str">
        <f t="shared" si="12"/>
        <v>26-35</v>
      </c>
      <c r="C800" t="s">
        <v>35</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3">
      <c r="A801">
        <v>42</v>
      </c>
      <c r="B801" t="str">
        <f t="shared" si="12"/>
        <v>36-45</v>
      </c>
      <c r="C801" t="s">
        <v>43</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3">
      <c r="A802">
        <v>28</v>
      </c>
      <c r="B802" t="str">
        <f t="shared" si="12"/>
        <v>26-35</v>
      </c>
      <c r="C802" t="s">
        <v>35</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3">
      <c r="A803">
        <v>50</v>
      </c>
      <c r="B803" t="str">
        <f t="shared" si="12"/>
        <v>46+</v>
      </c>
      <c r="C803" t="s">
        <v>35</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3">
      <c r="A804">
        <v>33</v>
      </c>
      <c r="B804" t="str">
        <f t="shared" si="12"/>
        <v>26-35</v>
      </c>
      <c r="C804" t="s">
        <v>43</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3">
      <c r="A805">
        <v>34</v>
      </c>
      <c r="B805" t="str">
        <f t="shared" si="12"/>
        <v>26-35</v>
      </c>
      <c r="C805" t="s">
        <v>43</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3">
      <c r="A806">
        <v>48</v>
      </c>
      <c r="B806" t="str">
        <f t="shared" si="12"/>
        <v>46+</v>
      </c>
      <c r="C806" t="s">
        <v>43</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3">
      <c r="A807">
        <v>45</v>
      </c>
      <c r="B807" t="str">
        <f t="shared" si="12"/>
        <v>36-45</v>
      </c>
      <c r="C807" t="s">
        <v>43</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3">
      <c r="A808">
        <v>52</v>
      </c>
      <c r="B808" t="str">
        <f t="shared" si="12"/>
        <v>46+</v>
      </c>
      <c r="C808" t="s">
        <v>43</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3">
      <c r="A809">
        <v>38</v>
      </c>
      <c r="B809" t="str">
        <f t="shared" si="12"/>
        <v>36-45</v>
      </c>
      <c r="C809" t="s">
        <v>43</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3">
      <c r="A810">
        <v>29</v>
      </c>
      <c r="B810" t="str">
        <f t="shared" si="12"/>
        <v>26-35</v>
      </c>
      <c r="C810" t="s">
        <v>43</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3">
      <c r="A811">
        <v>28</v>
      </c>
      <c r="B811" t="str">
        <f t="shared" si="12"/>
        <v>26-35</v>
      </c>
      <c r="C811" t="s">
        <v>43</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3">
      <c r="A812">
        <v>46</v>
      </c>
      <c r="B812" t="str">
        <f t="shared" si="12"/>
        <v>46+</v>
      </c>
      <c r="C812" t="s">
        <v>43</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3">
      <c r="A813">
        <v>38</v>
      </c>
      <c r="B813" t="str">
        <f t="shared" si="12"/>
        <v>36-45</v>
      </c>
      <c r="C813" t="s">
        <v>43</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3">
      <c r="A814">
        <v>43</v>
      </c>
      <c r="B814" t="str">
        <f t="shared" si="12"/>
        <v>36-45</v>
      </c>
      <c r="C814" t="s">
        <v>43</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3">
      <c r="A815">
        <v>39</v>
      </c>
      <c r="B815" t="str">
        <f t="shared" si="12"/>
        <v>36-45</v>
      </c>
      <c r="C815" t="s">
        <v>35</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3">
      <c r="A816">
        <v>40</v>
      </c>
      <c r="B816" t="str">
        <f t="shared" si="12"/>
        <v>36-45</v>
      </c>
      <c r="C816" t="s">
        <v>43</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3">
      <c r="A817">
        <v>21</v>
      </c>
      <c r="B817" t="str">
        <f t="shared" si="12"/>
        <v>18-25</v>
      </c>
      <c r="C817" t="s">
        <v>43</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3">
      <c r="A818">
        <v>39</v>
      </c>
      <c r="B818" t="str">
        <f t="shared" si="12"/>
        <v>36-45</v>
      </c>
      <c r="C818" t="s">
        <v>43</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3">
      <c r="A819">
        <v>36</v>
      </c>
      <c r="B819" t="str">
        <f t="shared" si="12"/>
        <v>36-45</v>
      </c>
      <c r="C819" t="s">
        <v>43</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3">
      <c r="A820">
        <v>31</v>
      </c>
      <c r="B820" t="str">
        <f t="shared" si="12"/>
        <v>26-35</v>
      </c>
      <c r="C820" t="s">
        <v>43</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3">
      <c r="A821">
        <v>28</v>
      </c>
      <c r="B821" t="str">
        <f t="shared" si="12"/>
        <v>26-35</v>
      </c>
      <c r="C821" t="s">
        <v>43</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3">
      <c r="A822">
        <v>35</v>
      </c>
      <c r="B822" t="str">
        <f t="shared" si="12"/>
        <v>26-35</v>
      </c>
      <c r="C822" t="s">
        <v>43</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3">
      <c r="A823">
        <v>49</v>
      </c>
      <c r="B823" t="str">
        <f t="shared" si="12"/>
        <v>46+</v>
      </c>
      <c r="C823" t="s">
        <v>43</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3">
      <c r="A824">
        <v>34</v>
      </c>
      <c r="B824" t="str">
        <f t="shared" si="12"/>
        <v>26-35</v>
      </c>
      <c r="C824" t="s">
        <v>43</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3">
      <c r="A825">
        <v>29</v>
      </c>
      <c r="B825" t="str">
        <f t="shared" si="12"/>
        <v>26-35</v>
      </c>
      <c r="C825" t="s">
        <v>43</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3">
      <c r="A826">
        <v>42</v>
      </c>
      <c r="B826" t="str">
        <f t="shared" si="12"/>
        <v>36-45</v>
      </c>
      <c r="C826" t="s">
        <v>43</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3">
      <c r="A827">
        <v>29</v>
      </c>
      <c r="B827" t="str">
        <f t="shared" si="12"/>
        <v>26-35</v>
      </c>
      <c r="C827" t="s">
        <v>43</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3">
      <c r="A828">
        <v>38</v>
      </c>
      <c r="B828" t="str">
        <f t="shared" si="12"/>
        <v>36-45</v>
      </c>
      <c r="C828" t="s">
        <v>43</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3">
      <c r="A829">
        <v>28</v>
      </c>
      <c r="B829" t="str">
        <f t="shared" si="12"/>
        <v>26-35</v>
      </c>
      <c r="C829" t="s">
        <v>43</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3">
      <c r="A830">
        <v>18</v>
      </c>
      <c r="B830" t="str">
        <f t="shared" si="12"/>
        <v>18-25</v>
      </c>
      <c r="C830" t="s">
        <v>35</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3">
      <c r="A831">
        <v>33</v>
      </c>
      <c r="B831" t="str">
        <f t="shared" si="12"/>
        <v>26-35</v>
      </c>
      <c r="C831" t="s">
        <v>35</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3">
      <c r="A832">
        <v>41</v>
      </c>
      <c r="B832" t="str">
        <f t="shared" si="12"/>
        <v>36-45</v>
      </c>
      <c r="C832" t="s">
        <v>43</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3">
      <c r="A833">
        <v>31</v>
      </c>
      <c r="B833" t="str">
        <f t="shared" si="12"/>
        <v>26-35</v>
      </c>
      <c r="C833" t="s">
        <v>35</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3">
      <c r="A834">
        <v>37</v>
      </c>
      <c r="B834" t="str">
        <f t="shared" si="12"/>
        <v>36-45</v>
      </c>
      <c r="C834" t="s">
        <v>43</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3">
      <c r="A835">
        <v>27</v>
      </c>
      <c r="B835" t="str">
        <f t="shared" ref="B835:B898" si="13">IF(A835&lt;=25,"18-25",IF(A835&lt;=35,"26-35",IF(A835&lt;=45,"36-45","46+")))</f>
        <v>26-35</v>
      </c>
      <c r="C835" t="s">
        <v>43</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3">
      <c r="A836">
        <v>34</v>
      </c>
      <c r="B836" t="str">
        <f t="shared" si="13"/>
        <v>26-35</v>
      </c>
      <c r="C836" t="s">
        <v>43</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3">
      <c r="A837">
        <v>35</v>
      </c>
      <c r="B837" t="str">
        <f t="shared" si="13"/>
        <v>26-35</v>
      </c>
      <c r="C837" t="s">
        <v>43</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3">
      <c r="A838">
        <v>29</v>
      </c>
      <c r="B838" t="str">
        <f t="shared" si="13"/>
        <v>26-35</v>
      </c>
      <c r="C838" t="s">
        <v>35</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3">
      <c r="A839">
        <v>40</v>
      </c>
      <c r="B839" t="str">
        <f t="shared" si="13"/>
        <v>36-45</v>
      </c>
      <c r="C839" t="s">
        <v>43</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3">
      <c r="A840">
        <v>42</v>
      </c>
      <c r="B840" t="str">
        <f t="shared" si="13"/>
        <v>36-45</v>
      </c>
      <c r="C840" t="s">
        <v>35</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3">
      <c r="A841">
        <v>42</v>
      </c>
      <c r="B841" t="str">
        <f t="shared" si="13"/>
        <v>36-45</v>
      </c>
      <c r="C841" t="s">
        <v>43</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3">
      <c r="A842">
        <v>35</v>
      </c>
      <c r="B842" t="str">
        <f t="shared" si="13"/>
        <v>26-35</v>
      </c>
      <c r="C842" t="s">
        <v>43</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3">
      <c r="A843">
        <v>24</v>
      </c>
      <c r="B843" t="str">
        <f t="shared" si="13"/>
        <v>18-25</v>
      </c>
      <c r="C843" t="s">
        <v>43</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3">
      <c r="A844">
        <v>28</v>
      </c>
      <c r="B844" t="str">
        <f t="shared" si="13"/>
        <v>26-35</v>
      </c>
      <c r="C844" t="s">
        <v>35</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3">
      <c r="A845">
        <v>26</v>
      </c>
      <c r="B845" t="str">
        <f t="shared" si="13"/>
        <v>26-35</v>
      </c>
      <c r="C845" t="s">
        <v>43</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3">
      <c r="A846">
        <v>30</v>
      </c>
      <c r="B846" t="str">
        <f t="shared" si="13"/>
        <v>26-35</v>
      </c>
      <c r="C846" t="s">
        <v>43</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3">
      <c r="A847">
        <v>40</v>
      </c>
      <c r="B847" t="str">
        <f t="shared" si="13"/>
        <v>36-45</v>
      </c>
      <c r="C847" t="s">
        <v>43</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3">
      <c r="A848">
        <v>35</v>
      </c>
      <c r="B848" t="str">
        <f t="shared" si="13"/>
        <v>26-35</v>
      </c>
      <c r="C848" t="s">
        <v>43</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3">
      <c r="A849">
        <v>34</v>
      </c>
      <c r="B849" t="str">
        <f t="shared" si="13"/>
        <v>26-35</v>
      </c>
      <c r="C849" t="s">
        <v>43</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3">
      <c r="A850">
        <v>35</v>
      </c>
      <c r="B850" t="str">
        <f t="shared" si="13"/>
        <v>26-35</v>
      </c>
      <c r="C850" t="s">
        <v>43</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3">
      <c r="A851">
        <v>43</v>
      </c>
      <c r="B851" t="str">
        <f t="shared" si="13"/>
        <v>36-45</v>
      </c>
      <c r="C851" t="s">
        <v>35</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3">
      <c r="A852">
        <v>32</v>
      </c>
      <c r="B852" t="str">
        <f t="shared" si="13"/>
        <v>26-35</v>
      </c>
      <c r="C852" t="s">
        <v>43</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3">
      <c r="A853">
        <v>56</v>
      </c>
      <c r="B853" t="str">
        <f t="shared" si="13"/>
        <v>46+</v>
      </c>
      <c r="C853" t="s">
        <v>43</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3">
      <c r="A854">
        <v>29</v>
      </c>
      <c r="B854" t="str">
        <f t="shared" si="13"/>
        <v>26-35</v>
      </c>
      <c r="C854" t="s">
        <v>43</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3">
      <c r="A855">
        <v>19</v>
      </c>
      <c r="B855" t="str">
        <f t="shared" si="13"/>
        <v>18-25</v>
      </c>
      <c r="C855" t="s">
        <v>43</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3">
      <c r="A856">
        <v>45</v>
      </c>
      <c r="B856" t="str">
        <f t="shared" si="13"/>
        <v>36-45</v>
      </c>
      <c r="C856" t="s">
        <v>43</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3">
      <c r="A857">
        <v>37</v>
      </c>
      <c r="B857" t="str">
        <f t="shared" si="13"/>
        <v>36-45</v>
      </c>
      <c r="C857" t="s">
        <v>43</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3">
      <c r="A858">
        <v>20</v>
      </c>
      <c r="B858" t="str">
        <f t="shared" si="13"/>
        <v>18-25</v>
      </c>
      <c r="C858" t="s">
        <v>43</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3">
      <c r="A859">
        <v>44</v>
      </c>
      <c r="B859" t="str">
        <f t="shared" si="13"/>
        <v>36-45</v>
      </c>
      <c r="C859" t="s">
        <v>35</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3">
      <c r="A860">
        <v>53</v>
      </c>
      <c r="B860" t="str">
        <f t="shared" si="13"/>
        <v>46+</v>
      </c>
      <c r="C860" t="s">
        <v>43</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3">
      <c r="A861">
        <v>29</v>
      </c>
      <c r="B861" t="str">
        <f t="shared" si="13"/>
        <v>26-35</v>
      </c>
      <c r="C861" t="s">
        <v>43</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3">
      <c r="A862">
        <v>22</v>
      </c>
      <c r="B862" t="str">
        <f t="shared" si="13"/>
        <v>18-25</v>
      </c>
      <c r="C862" t="s">
        <v>35</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3">
      <c r="A863">
        <v>46</v>
      </c>
      <c r="B863" t="str">
        <f t="shared" si="13"/>
        <v>46+</v>
      </c>
      <c r="C863" t="s">
        <v>43</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3">
      <c r="A864">
        <v>44</v>
      </c>
      <c r="B864" t="str">
        <f t="shared" si="13"/>
        <v>36-45</v>
      </c>
      <c r="C864" t="s">
        <v>43</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3">
      <c r="A865">
        <v>33</v>
      </c>
      <c r="B865" t="str">
        <f t="shared" si="13"/>
        <v>26-35</v>
      </c>
      <c r="C865" t="s">
        <v>43</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3">
      <c r="A866">
        <v>41</v>
      </c>
      <c r="B866" t="str">
        <f t="shared" si="13"/>
        <v>36-45</v>
      </c>
      <c r="C866" t="s">
        <v>35</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3">
      <c r="A867">
        <v>30</v>
      </c>
      <c r="B867" t="str">
        <f t="shared" si="13"/>
        <v>26-35</v>
      </c>
      <c r="C867" t="s">
        <v>43</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3">
      <c r="A868">
        <v>40</v>
      </c>
      <c r="B868" t="str">
        <f t="shared" si="13"/>
        <v>36-45</v>
      </c>
      <c r="C868" t="s">
        <v>43</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3">
      <c r="A869">
        <v>50</v>
      </c>
      <c r="B869" t="str">
        <f t="shared" si="13"/>
        <v>46+</v>
      </c>
      <c r="C869" t="s">
        <v>43</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3">
      <c r="A870">
        <v>28</v>
      </c>
      <c r="B870" t="str">
        <f t="shared" si="13"/>
        <v>26-35</v>
      </c>
      <c r="C870" t="s">
        <v>43</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3">
      <c r="A871">
        <v>46</v>
      </c>
      <c r="B871" t="str">
        <f t="shared" si="13"/>
        <v>46+</v>
      </c>
      <c r="C871" t="s">
        <v>43</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3">
      <c r="A872">
        <v>35</v>
      </c>
      <c r="B872" t="str">
        <f t="shared" si="13"/>
        <v>26-35</v>
      </c>
      <c r="C872" t="s">
        <v>43</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3">
      <c r="A873">
        <v>24</v>
      </c>
      <c r="B873" t="str">
        <f t="shared" si="13"/>
        <v>18-25</v>
      </c>
      <c r="C873" t="s">
        <v>35</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3">
      <c r="A874">
        <v>33</v>
      </c>
      <c r="B874" t="str">
        <f t="shared" si="13"/>
        <v>26-35</v>
      </c>
      <c r="C874" t="s">
        <v>43</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3">
      <c r="A875">
        <v>36</v>
      </c>
      <c r="B875" t="str">
        <f t="shared" si="13"/>
        <v>36-45</v>
      </c>
      <c r="C875" t="s">
        <v>43</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3">
      <c r="A876">
        <v>30</v>
      </c>
      <c r="B876" t="str">
        <f t="shared" si="13"/>
        <v>26-35</v>
      </c>
      <c r="C876" t="s">
        <v>43</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3">
      <c r="A877">
        <v>44</v>
      </c>
      <c r="B877" t="str">
        <f t="shared" si="13"/>
        <v>36-45</v>
      </c>
      <c r="C877" t="s">
        <v>43</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3">
      <c r="A878">
        <v>20</v>
      </c>
      <c r="B878" t="str">
        <f t="shared" si="13"/>
        <v>18-25</v>
      </c>
      <c r="C878" t="s">
        <v>43</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3">
      <c r="A879">
        <v>46</v>
      </c>
      <c r="B879" t="str">
        <f t="shared" si="13"/>
        <v>46+</v>
      </c>
      <c r="C879" t="s">
        <v>43</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3">
      <c r="A880">
        <v>42</v>
      </c>
      <c r="B880" t="str">
        <f t="shared" si="13"/>
        <v>36-45</v>
      </c>
      <c r="C880" t="s">
        <v>43</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3">
      <c r="A881">
        <v>60</v>
      </c>
      <c r="B881" t="str">
        <f t="shared" si="13"/>
        <v>46+</v>
      </c>
      <c r="C881" t="s">
        <v>43</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3">
      <c r="A882">
        <v>32</v>
      </c>
      <c r="B882" t="str">
        <f t="shared" si="13"/>
        <v>26-35</v>
      </c>
      <c r="C882" t="s">
        <v>43</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3">
      <c r="A883">
        <v>32</v>
      </c>
      <c r="B883" t="str">
        <f t="shared" si="13"/>
        <v>26-35</v>
      </c>
      <c r="C883" t="s">
        <v>43</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3">
      <c r="A884">
        <v>36</v>
      </c>
      <c r="B884" t="str">
        <f t="shared" si="13"/>
        <v>36-45</v>
      </c>
      <c r="C884" t="s">
        <v>43</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3">
      <c r="A885">
        <v>33</v>
      </c>
      <c r="B885" t="str">
        <f t="shared" si="13"/>
        <v>26-35</v>
      </c>
      <c r="C885" t="s">
        <v>43</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3">
      <c r="A886">
        <v>40</v>
      </c>
      <c r="B886" t="str">
        <f t="shared" si="13"/>
        <v>36-45</v>
      </c>
      <c r="C886" t="s">
        <v>43</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3">
      <c r="A887">
        <v>25</v>
      </c>
      <c r="B887" t="str">
        <f t="shared" si="13"/>
        <v>18-25</v>
      </c>
      <c r="C887" t="s">
        <v>43</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3">
      <c r="A888">
        <v>30</v>
      </c>
      <c r="B888" t="str">
        <f t="shared" si="13"/>
        <v>26-35</v>
      </c>
      <c r="C888" t="s">
        <v>43</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3">
      <c r="A889">
        <v>42</v>
      </c>
      <c r="B889" t="str">
        <f t="shared" si="13"/>
        <v>36-45</v>
      </c>
      <c r="C889" t="s">
        <v>43</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3">
      <c r="A890">
        <v>35</v>
      </c>
      <c r="B890" t="str">
        <f t="shared" si="13"/>
        <v>26-35</v>
      </c>
      <c r="C890" t="s">
        <v>43</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3">
      <c r="A891">
        <v>27</v>
      </c>
      <c r="B891" t="str">
        <f t="shared" si="13"/>
        <v>26-35</v>
      </c>
      <c r="C891" t="s">
        <v>43</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3">
      <c r="A892">
        <v>54</v>
      </c>
      <c r="B892" t="str">
        <f t="shared" si="13"/>
        <v>46+</v>
      </c>
      <c r="C892" t="s">
        <v>43</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3">
      <c r="A893">
        <v>44</v>
      </c>
      <c r="B893" t="str">
        <f t="shared" si="13"/>
        <v>36-45</v>
      </c>
      <c r="C893" t="s">
        <v>43</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3">
      <c r="A894">
        <v>19</v>
      </c>
      <c r="B894" t="str">
        <f t="shared" si="13"/>
        <v>18-25</v>
      </c>
      <c r="C894" t="s">
        <v>35</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3">
      <c r="A895">
        <v>29</v>
      </c>
      <c r="B895" t="str">
        <f t="shared" si="13"/>
        <v>26-35</v>
      </c>
      <c r="C895" t="s">
        <v>43</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3">
      <c r="A896">
        <v>54</v>
      </c>
      <c r="B896" t="str">
        <f t="shared" si="13"/>
        <v>46+</v>
      </c>
      <c r="C896" t="s">
        <v>43</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3">
      <c r="A897">
        <v>31</v>
      </c>
      <c r="B897" t="str">
        <f t="shared" si="13"/>
        <v>26-35</v>
      </c>
      <c r="C897" t="s">
        <v>43</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3">
      <c r="A898">
        <v>31</v>
      </c>
      <c r="B898" t="str">
        <f t="shared" si="13"/>
        <v>26-35</v>
      </c>
      <c r="C898" t="s">
        <v>43</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3">
      <c r="A899">
        <v>59</v>
      </c>
      <c r="B899" t="str">
        <f t="shared" ref="B899:B962" si="14">IF(A899&lt;=25,"18-25",IF(A899&lt;=35,"26-35",IF(A899&lt;=45,"36-45","46+")))</f>
        <v>46+</v>
      </c>
      <c r="C899" t="s">
        <v>43</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3">
      <c r="A900">
        <v>43</v>
      </c>
      <c r="B900" t="str">
        <f t="shared" si="14"/>
        <v>36-45</v>
      </c>
      <c r="C900" t="s">
        <v>43</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3">
      <c r="A901">
        <v>49</v>
      </c>
      <c r="B901" t="str">
        <f t="shared" si="14"/>
        <v>46+</v>
      </c>
      <c r="C901" t="s">
        <v>43</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3">
      <c r="A902">
        <v>36</v>
      </c>
      <c r="B902" t="str">
        <f t="shared" si="14"/>
        <v>36-45</v>
      </c>
      <c r="C902" t="s">
        <v>43</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3">
      <c r="A903">
        <v>48</v>
      </c>
      <c r="B903" t="str">
        <f t="shared" si="14"/>
        <v>46+</v>
      </c>
      <c r="C903" t="s">
        <v>43</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3">
      <c r="A904">
        <v>27</v>
      </c>
      <c r="B904" t="str">
        <f t="shared" si="14"/>
        <v>26-35</v>
      </c>
      <c r="C904" t="s">
        <v>43</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3">
      <c r="A905">
        <v>29</v>
      </c>
      <c r="B905" t="str">
        <f t="shared" si="14"/>
        <v>26-35</v>
      </c>
      <c r="C905" t="s">
        <v>43</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3">
      <c r="A906">
        <v>48</v>
      </c>
      <c r="B906" t="str">
        <f t="shared" si="14"/>
        <v>46+</v>
      </c>
      <c r="C906" t="s">
        <v>43</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3">
      <c r="A907">
        <v>29</v>
      </c>
      <c r="B907" t="str">
        <f t="shared" si="14"/>
        <v>26-35</v>
      </c>
      <c r="C907" t="s">
        <v>43</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3">
      <c r="A908">
        <v>34</v>
      </c>
      <c r="B908" t="str">
        <f t="shared" si="14"/>
        <v>26-35</v>
      </c>
      <c r="C908" t="s">
        <v>43</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3">
      <c r="A909">
        <v>44</v>
      </c>
      <c r="B909" t="str">
        <f t="shared" si="14"/>
        <v>36-45</v>
      </c>
      <c r="C909" t="s">
        <v>43</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3">
      <c r="A910">
        <v>33</v>
      </c>
      <c r="B910" t="str">
        <f t="shared" si="14"/>
        <v>26-35</v>
      </c>
      <c r="C910" t="s">
        <v>43</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3">
      <c r="A911">
        <v>19</v>
      </c>
      <c r="B911" t="str">
        <f t="shared" si="14"/>
        <v>18-25</v>
      </c>
      <c r="C911" t="s">
        <v>43</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3">
      <c r="A912">
        <v>23</v>
      </c>
      <c r="B912" t="str">
        <f t="shared" si="14"/>
        <v>18-25</v>
      </c>
      <c r="C912" t="s">
        <v>43</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3">
      <c r="A913">
        <v>25</v>
      </c>
      <c r="B913" t="str">
        <f t="shared" si="14"/>
        <v>18-25</v>
      </c>
      <c r="C913" t="s">
        <v>35</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3">
      <c r="A914">
        <v>26</v>
      </c>
      <c r="B914" t="str">
        <f t="shared" si="14"/>
        <v>26-35</v>
      </c>
      <c r="C914" t="s">
        <v>43</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3">
      <c r="A915">
        <v>45</v>
      </c>
      <c r="B915" t="str">
        <f t="shared" si="14"/>
        <v>36-45</v>
      </c>
      <c r="C915" t="s">
        <v>35</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3">
      <c r="A916">
        <v>55</v>
      </c>
      <c r="B916" t="str">
        <f t="shared" si="14"/>
        <v>46+</v>
      </c>
      <c r="C916" t="s">
        <v>43</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3">
      <c r="A917">
        <v>21</v>
      </c>
      <c r="B917" t="str">
        <f t="shared" si="14"/>
        <v>18-25</v>
      </c>
      <c r="C917" t="s">
        <v>35</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3">
      <c r="A918">
        <v>46</v>
      </c>
      <c r="B918" t="str">
        <f t="shared" si="14"/>
        <v>46+</v>
      </c>
      <c r="C918" t="s">
        <v>43</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3">
      <c r="A919">
        <v>34</v>
      </c>
      <c r="B919" t="str">
        <f t="shared" si="14"/>
        <v>26-35</v>
      </c>
      <c r="C919" t="s">
        <v>43</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3">
      <c r="A920">
        <v>51</v>
      </c>
      <c r="B920" t="str">
        <f t="shared" si="14"/>
        <v>46+</v>
      </c>
      <c r="C920" t="s">
        <v>43</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3">
      <c r="A921">
        <v>59</v>
      </c>
      <c r="B921" t="str">
        <f t="shared" si="14"/>
        <v>46+</v>
      </c>
      <c r="C921" t="s">
        <v>43</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3">
      <c r="A922">
        <v>34</v>
      </c>
      <c r="B922" t="str">
        <f t="shared" si="14"/>
        <v>26-35</v>
      </c>
      <c r="C922" t="s">
        <v>43</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3">
      <c r="A923">
        <v>28</v>
      </c>
      <c r="B923" t="str">
        <f t="shared" si="14"/>
        <v>26-35</v>
      </c>
      <c r="C923" t="s">
        <v>43</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3">
      <c r="A924">
        <v>44</v>
      </c>
      <c r="B924" t="str">
        <f t="shared" si="14"/>
        <v>36-45</v>
      </c>
      <c r="C924" t="s">
        <v>43</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3">
      <c r="A925">
        <v>34</v>
      </c>
      <c r="B925" t="str">
        <f t="shared" si="14"/>
        <v>26-35</v>
      </c>
      <c r="C925" t="s">
        <v>43</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3">
      <c r="A926">
        <v>35</v>
      </c>
      <c r="B926" t="str">
        <f t="shared" si="14"/>
        <v>26-35</v>
      </c>
      <c r="C926" t="s">
        <v>43</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3">
      <c r="A927">
        <v>42</v>
      </c>
      <c r="B927" t="str">
        <f t="shared" si="14"/>
        <v>36-45</v>
      </c>
      <c r="C927" t="s">
        <v>43</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3">
      <c r="A928">
        <v>43</v>
      </c>
      <c r="B928" t="str">
        <f t="shared" si="14"/>
        <v>36-45</v>
      </c>
      <c r="C928" t="s">
        <v>43</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3">
      <c r="A929">
        <v>36</v>
      </c>
      <c r="B929" t="str">
        <f t="shared" si="14"/>
        <v>36-45</v>
      </c>
      <c r="C929" t="s">
        <v>43</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3">
      <c r="A930">
        <v>44</v>
      </c>
      <c r="B930" t="str">
        <f t="shared" si="14"/>
        <v>36-45</v>
      </c>
      <c r="C930" t="s">
        <v>35</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3">
      <c r="A931">
        <v>28</v>
      </c>
      <c r="B931" t="str">
        <f t="shared" si="14"/>
        <v>26-35</v>
      </c>
      <c r="C931" t="s">
        <v>43</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3">
      <c r="A932">
        <v>51</v>
      </c>
      <c r="B932" t="str">
        <f t="shared" si="14"/>
        <v>46+</v>
      </c>
      <c r="C932" t="s">
        <v>43</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3">
      <c r="A933">
        <v>30</v>
      </c>
      <c r="B933" t="str">
        <f t="shared" si="14"/>
        <v>26-35</v>
      </c>
      <c r="C933" t="s">
        <v>43</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3">
      <c r="A934">
        <v>29</v>
      </c>
      <c r="B934" t="str">
        <f t="shared" si="14"/>
        <v>26-35</v>
      </c>
      <c r="C934" t="s">
        <v>35</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3">
      <c r="A935">
        <v>28</v>
      </c>
      <c r="B935" t="str">
        <f t="shared" si="14"/>
        <v>26-35</v>
      </c>
      <c r="C935" t="s">
        <v>43</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3">
      <c r="A936">
        <v>25</v>
      </c>
      <c r="B936" t="str">
        <f t="shared" si="14"/>
        <v>18-25</v>
      </c>
      <c r="C936" t="s">
        <v>43</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3">
      <c r="A937">
        <v>32</v>
      </c>
      <c r="B937" t="str">
        <f t="shared" si="14"/>
        <v>26-35</v>
      </c>
      <c r="C937" t="s">
        <v>43</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3">
      <c r="A938">
        <v>45</v>
      </c>
      <c r="B938" t="str">
        <f t="shared" si="14"/>
        <v>36-45</v>
      </c>
      <c r="C938" t="s">
        <v>43</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3">
      <c r="A939">
        <v>39</v>
      </c>
      <c r="B939" t="str">
        <f t="shared" si="14"/>
        <v>36-45</v>
      </c>
      <c r="C939" t="s">
        <v>43</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3">
      <c r="A940">
        <v>58</v>
      </c>
      <c r="B940" t="str">
        <f t="shared" si="14"/>
        <v>46+</v>
      </c>
      <c r="C940" t="s">
        <v>43</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3">
      <c r="A941">
        <v>32</v>
      </c>
      <c r="B941" t="str">
        <f t="shared" si="14"/>
        <v>26-35</v>
      </c>
      <c r="C941" t="s">
        <v>35</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3">
      <c r="A942">
        <v>39</v>
      </c>
      <c r="B942" t="str">
        <f t="shared" si="14"/>
        <v>36-45</v>
      </c>
      <c r="C942" t="s">
        <v>35</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3">
      <c r="A943">
        <v>30</v>
      </c>
      <c r="B943" t="str">
        <f t="shared" si="14"/>
        <v>26-35</v>
      </c>
      <c r="C943" t="s">
        <v>43</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3">
      <c r="A944">
        <v>36</v>
      </c>
      <c r="B944" t="str">
        <f t="shared" si="14"/>
        <v>36-45</v>
      </c>
      <c r="C944" t="s">
        <v>43</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3">
      <c r="A945">
        <v>46</v>
      </c>
      <c r="B945" t="str">
        <f t="shared" si="14"/>
        <v>46+</v>
      </c>
      <c r="C945" t="s">
        <v>43</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3">
      <c r="A946">
        <v>28</v>
      </c>
      <c r="B946" t="str">
        <f t="shared" si="14"/>
        <v>26-35</v>
      </c>
      <c r="C946" t="s">
        <v>43</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3">
      <c r="A947">
        <v>50</v>
      </c>
      <c r="B947" t="str">
        <f t="shared" si="14"/>
        <v>46+</v>
      </c>
      <c r="C947" t="s">
        <v>43</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3">
      <c r="A948">
        <v>40</v>
      </c>
      <c r="B948" t="str">
        <f t="shared" si="14"/>
        <v>36-45</v>
      </c>
      <c r="C948" t="s">
        <v>35</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3">
      <c r="A949">
        <v>52</v>
      </c>
      <c r="B949" t="str">
        <f t="shared" si="14"/>
        <v>46+</v>
      </c>
      <c r="C949" t="s">
        <v>35</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3">
      <c r="A950">
        <v>30</v>
      </c>
      <c r="B950" t="str">
        <f t="shared" si="14"/>
        <v>26-35</v>
      </c>
      <c r="C950" t="s">
        <v>43</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3">
      <c r="A951">
        <v>39</v>
      </c>
      <c r="B951" t="str">
        <f t="shared" si="14"/>
        <v>36-45</v>
      </c>
      <c r="C951" t="s">
        <v>43</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3">
      <c r="A952">
        <v>31</v>
      </c>
      <c r="B952" t="str">
        <f t="shared" si="14"/>
        <v>26-35</v>
      </c>
      <c r="C952" t="s">
        <v>43</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3">
      <c r="A953">
        <v>41</v>
      </c>
      <c r="B953" t="str">
        <f t="shared" si="14"/>
        <v>36-45</v>
      </c>
      <c r="C953" t="s">
        <v>43</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3">
      <c r="A954">
        <v>31</v>
      </c>
      <c r="B954" t="str">
        <f t="shared" si="14"/>
        <v>26-35</v>
      </c>
      <c r="C954" t="s">
        <v>35</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3">
      <c r="A955">
        <v>44</v>
      </c>
      <c r="B955" t="str">
        <f t="shared" si="14"/>
        <v>36-45</v>
      </c>
      <c r="C955" t="s">
        <v>35</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3">
      <c r="A956">
        <v>42</v>
      </c>
      <c r="B956" t="str">
        <f t="shared" si="14"/>
        <v>36-45</v>
      </c>
      <c r="C956" t="s">
        <v>43</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3">
      <c r="A957">
        <v>55</v>
      </c>
      <c r="B957" t="str">
        <f t="shared" si="14"/>
        <v>46+</v>
      </c>
      <c r="C957" t="s">
        <v>43</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3">
      <c r="A958">
        <v>56</v>
      </c>
      <c r="B958" t="str">
        <f t="shared" si="14"/>
        <v>46+</v>
      </c>
      <c r="C958" t="s">
        <v>43</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3">
      <c r="A959">
        <v>40</v>
      </c>
      <c r="B959" t="str">
        <f t="shared" si="14"/>
        <v>36-45</v>
      </c>
      <c r="C959" t="s">
        <v>43</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3">
      <c r="A960">
        <v>34</v>
      </c>
      <c r="B960" t="str">
        <f t="shared" si="14"/>
        <v>26-35</v>
      </c>
      <c r="C960" t="s">
        <v>43</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3">
      <c r="A961">
        <v>40</v>
      </c>
      <c r="B961" t="str">
        <f t="shared" si="14"/>
        <v>36-45</v>
      </c>
      <c r="C961" t="s">
        <v>43</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3">
      <c r="A962">
        <v>41</v>
      </c>
      <c r="B962" t="str">
        <f t="shared" si="14"/>
        <v>36-45</v>
      </c>
      <c r="C962" t="s">
        <v>43</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3">
      <c r="A963">
        <v>35</v>
      </c>
      <c r="B963" t="str">
        <f t="shared" ref="B963:B1026" si="15">IF(A963&lt;=25,"18-25",IF(A963&lt;=35,"26-35",IF(A963&lt;=45,"36-45","46+")))</f>
        <v>26-35</v>
      </c>
      <c r="C963" t="s">
        <v>43</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3">
      <c r="A964">
        <v>51</v>
      </c>
      <c r="B964" t="str">
        <f t="shared" si="15"/>
        <v>46+</v>
      </c>
      <c r="C964" t="s">
        <v>43</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3">
      <c r="A965">
        <v>38</v>
      </c>
      <c r="B965" t="str">
        <f t="shared" si="15"/>
        <v>36-45</v>
      </c>
      <c r="C965" t="s">
        <v>43</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3">
      <c r="A966">
        <v>34</v>
      </c>
      <c r="B966" t="str">
        <f t="shared" si="15"/>
        <v>26-35</v>
      </c>
      <c r="C966" t="s">
        <v>43</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3">
      <c r="A967">
        <v>25</v>
      </c>
      <c r="B967" t="str">
        <f t="shared" si="15"/>
        <v>18-25</v>
      </c>
      <c r="C967" t="s">
        <v>43</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3">
      <c r="A968">
        <v>58</v>
      </c>
      <c r="B968" t="str">
        <f t="shared" si="15"/>
        <v>46+</v>
      </c>
      <c r="C968" t="s">
        <v>35</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3">
      <c r="A969">
        <v>40</v>
      </c>
      <c r="B969" t="str">
        <f t="shared" si="15"/>
        <v>36-45</v>
      </c>
      <c r="C969" t="s">
        <v>43</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3">
      <c r="A970">
        <v>36</v>
      </c>
      <c r="B970" t="str">
        <f t="shared" si="15"/>
        <v>36-45</v>
      </c>
      <c r="C970" t="s">
        <v>43</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3">
      <c r="A971">
        <v>48</v>
      </c>
      <c r="B971" t="str">
        <f t="shared" si="15"/>
        <v>46+</v>
      </c>
      <c r="C971" t="s">
        <v>43</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3">
      <c r="A972">
        <v>27</v>
      </c>
      <c r="B972" t="str">
        <f t="shared" si="15"/>
        <v>26-35</v>
      </c>
      <c r="C972" t="s">
        <v>43</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3">
      <c r="A973">
        <v>51</v>
      </c>
      <c r="B973" t="str">
        <f t="shared" si="15"/>
        <v>46+</v>
      </c>
      <c r="C973" t="s">
        <v>43</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3">
      <c r="A974">
        <v>18</v>
      </c>
      <c r="B974" t="str">
        <f t="shared" si="15"/>
        <v>18-25</v>
      </c>
      <c r="C974" t="s">
        <v>43</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3">
      <c r="A975">
        <v>35</v>
      </c>
      <c r="B975" t="str">
        <f t="shared" si="15"/>
        <v>26-35</v>
      </c>
      <c r="C975" t="s">
        <v>43</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3">
      <c r="A976">
        <v>27</v>
      </c>
      <c r="B976" t="str">
        <f t="shared" si="15"/>
        <v>26-35</v>
      </c>
      <c r="C976" t="s">
        <v>43</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3">
      <c r="A977">
        <v>55</v>
      </c>
      <c r="B977" t="str">
        <f t="shared" si="15"/>
        <v>46+</v>
      </c>
      <c r="C977" t="s">
        <v>35</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3">
      <c r="A978">
        <v>56</v>
      </c>
      <c r="B978" t="str">
        <f t="shared" si="15"/>
        <v>46+</v>
      </c>
      <c r="C978" t="s">
        <v>43</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3">
      <c r="A979">
        <v>34</v>
      </c>
      <c r="B979" t="str">
        <f t="shared" si="15"/>
        <v>26-35</v>
      </c>
      <c r="C979" t="s">
        <v>43</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3">
      <c r="A980">
        <v>40</v>
      </c>
      <c r="B980" t="str">
        <f t="shared" si="15"/>
        <v>36-45</v>
      </c>
      <c r="C980" t="s">
        <v>43</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3">
      <c r="A981">
        <v>34</v>
      </c>
      <c r="B981" t="str">
        <f t="shared" si="15"/>
        <v>26-35</v>
      </c>
      <c r="C981" t="s">
        <v>43</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3">
      <c r="A982">
        <v>31</v>
      </c>
      <c r="B982" t="str">
        <f t="shared" si="15"/>
        <v>26-35</v>
      </c>
      <c r="C982" t="s">
        <v>35</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3">
      <c r="A983">
        <v>35</v>
      </c>
      <c r="B983" t="str">
        <f t="shared" si="15"/>
        <v>26-35</v>
      </c>
      <c r="C983" t="s">
        <v>35</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3">
      <c r="A984">
        <v>38</v>
      </c>
      <c r="B984" t="str">
        <f t="shared" si="15"/>
        <v>36-45</v>
      </c>
      <c r="C984" t="s">
        <v>43</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3">
      <c r="A985">
        <v>34</v>
      </c>
      <c r="B985" t="str">
        <f t="shared" si="15"/>
        <v>26-35</v>
      </c>
      <c r="C985" t="s">
        <v>43</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3">
      <c r="A986">
        <v>28</v>
      </c>
      <c r="B986" t="str">
        <f t="shared" si="15"/>
        <v>26-35</v>
      </c>
      <c r="C986" t="s">
        <v>43</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3">
      <c r="A987">
        <v>31</v>
      </c>
      <c r="B987" t="str">
        <f t="shared" si="15"/>
        <v>26-35</v>
      </c>
      <c r="C987" t="s">
        <v>35</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3">
      <c r="A988">
        <v>39</v>
      </c>
      <c r="B988" t="str">
        <f t="shared" si="15"/>
        <v>36-45</v>
      </c>
      <c r="C988" t="s">
        <v>43</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3">
      <c r="A989">
        <v>51</v>
      </c>
      <c r="B989" t="str">
        <f t="shared" si="15"/>
        <v>46+</v>
      </c>
      <c r="C989" t="s">
        <v>43</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3">
      <c r="A990">
        <v>41</v>
      </c>
      <c r="B990" t="str">
        <f t="shared" si="15"/>
        <v>36-45</v>
      </c>
      <c r="C990" t="s">
        <v>43</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3">
      <c r="A991">
        <v>37</v>
      </c>
      <c r="B991" t="str">
        <f t="shared" si="15"/>
        <v>36-45</v>
      </c>
      <c r="C991" t="s">
        <v>43</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3">
      <c r="A992">
        <v>33</v>
      </c>
      <c r="B992" t="str">
        <f t="shared" si="15"/>
        <v>26-35</v>
      </c>
      <c r="C992" t="s">
        <v>43</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3">
      <c r="A993">
        <v>32</v>
      </c>
      <c r="B993" t="str">
        <f t="shared" si="15"/>
        <v>26-35</v>
      </c>
      <c r="C993" t="s">
        <v>43</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3">
      <c r="A994">
        <v>39</v>
      </c>
      <c r="B994" t="str">
        <f t="shared" si="15"/>
        <v>36-45</v>
      </c>
      <c r="C994" t="s">
        <v>43</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3">
      <c r="A995">
        <v>25</v>
      </c>
      <c r="B995" t="str">
        <f t="shared" si="15"/>
        <v>18-25</v>
      </c>
      <c r="C995" t="s">
        <v>43</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3">
      <c r="A996">
        <v>52</v>
      </c>
      <c r="B996" t="str">
        <f t="shared" si="15"/>
        <v>46+</v>
      </c>
      <c r="C996" t="s">
        <v>43</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3">
      <c r="A997">
        <v>43</v>
      </c>
      <c r="B997" t="str">
        <f t="shared" si="15"/>
        <v>36-45</v>
      </c>
      <c r="C997" t="s">
        <v>43</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3">
      <c r="A998">
        <v>27</v>
      </c>
      <c r="B998" t="str">
        <f t="shared" si="15"/>
        <v>26-35</v>
      </c>
      <c r="C998" t="s">
        <v>43</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3">
      <c r="A999">
        <v>27</v>
      </c>
      <c r="B999" t="str">
        <f t="shared" si="15"/>
        <v>26-35</v>
      </c>
      <c r="C999" t="s">
        <v>35</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3">
      <c r="A1000">
        <v>26</v>
      </c>
      <c r="B1000" t="str">
        <f t="shared" si="15"/>
        <v>26-35</v>
      </c>
      <c r="C1000" t="s">
        <v>43</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3">
      <c r="A1001">
        <v>42</v>
      </c>
      <c r="B1001" t="str">
        <f t="shared" si="15"/>
        <v>36-45</v>
      </c>
      <c r="C1001" t="s">
        <v>43</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3">
      <c r="A1002">
        <v>52</v>
      </c>
      <c r="B1002" t="str">
        <f t="shared" si="15"/>
        <v>46+</v>
      </c>
      <c r="C1002" t="s">
        <v>43</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3">
      <c r="A1003">
        <v>37</v>
      </c>
      <c r="B1003" t="str">
        <f t="shared" si="15"/>
        <v>36-45</v>
      </c>
      <c r="C1003" t="s">
        <v>43</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3">
      <c r="A1004">
        <v>35</v>
      </c>
      <c r="B1004" t="str">
        <f t="shared" si="15"/>
        <v>26-35</v>
      </c>
      <c r="C1004" t="s">
        <v>43</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3">
      <c r="A1005">
        <v>25</v>
      </c>
      <c r="B1005" t="str">
        <f t="shared" si="15"/>
        <v>18-25</v>
      </c>
      <c r="C1005" t="s">
        <v>43</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3">
      <c r="A1006">
        <v>26</v>
      </c>
      <c r="B1006" t="str">
        <f t="shared" si="15"/>
        <v>26-35</v>
      </c>
      <c r="C1006" t="s">
        <v>43</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3">
      <c r="A1007">
        <v>29</v>
      </c>
      <c r="B1007" t="str">
        <f t="shared" si="15"/>
        <v>26-35</v>
      </c>
      <c r="C1007" t="s">
        <v>43</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3">
      <c r="A1008">
        <v>49</v>
      </c>
      <c r="B1008" t="str">
        <f t="shared" si="15"/>
        <v>46+</v>
      </c>
      <c r="C1008" t="s">
        <v>35</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3">
      <c r="A1009">
        <v>29</v>
      </c>
      <c r="B1009" t="str">
        <f t="shared" si="15"/>
        <v>26-35</v>
      </c>
      <c r="C1009" t="s">
        <v>35</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3">
      <c r="A1010">
        <v>54</v>
      </c>
      <c r="B1010" t="str">
        <f t="shared" si="15"/>
        <v>46+</v>
      </c>
      <c r="C1010" t="s">
        <v>43</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3">
      <c r="A1011">
        <v>58</v>
      </c>
      <c r="B1011" t="str">
        <f t="shared" si="15"/>
        <v>46+</v>
      </c>
      <c r="C1011" t="s">
        <v>43</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3">
      <c r="A1012">
        <v>55</v>
      </c>
      <c r="B1012" t="str">
        <f t="shared" si="15"/>
        <v>46+</v>
      </c>
      <c r="C1012" t="s">
        <v>43</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3">
      <c r="A1013">
        <v>36</v>
      </c>
      <c r="B1013" t="str">
        <f t="shared" si="15"/>
        <v>36-45</v>
      </c>
      <c r="C1013" t="s">
        <v>43</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3">
      <c r="A1014">
        <v>31</v>
      </c>
      <c r="B1014" t="str">
        <f t="shared" si="15"/>
        <v>26-35</v>
      </c>
      <c r="C1014" t="s">
        <v>35</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3">
      <c r="A1015">
        <v>30</v>
      </c>
      <c r="B1015" t="str">
        <f t="shared" si="15"/>
        <v>26-35</v>
      </c>
      <c r="C1015" t="s">
        <v>43</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3">
      <c r="A1016">
        <v>31</v>
      </c>
      <c r="B1016" t="str">
        <f t="shared" si="15"/>
        <v>26-35</v>
      </c>
      <c r="C1016" t="s">
        <v>43</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3">
      <c r="A1017">
        <v>34</v>
      </c>
      <c r="B1017" t="str">
        <f t="shared" si="15"/>
        <v>26-35</v>
      </c>
      <c r="C1017" t="s">
        <v>43</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3">
      <c r="A1018">
        <v>31</v>
      </c>
      <c r="B1018" t="str">
        <f t="shared" si="15"/>
        <v>26-35</v>
      </c>
      <c r="C1018" t="s">
        <v>35</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3">
      <c r="A1019">
        <v>27</v>
      </c>
      <c r="B1019" t="str">
        <f t="shared" si="15"/>
        <v>26-35</v>
      </c>
      <c r="C1019" t="s">
        <v>43</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3">
      <c r="A1020">
        <v>36</v>
      </c>
      <c r="B1020" t="str">
        <f t="shared" si="15"/>
        <v>36-45</v>
      </c>
      <c r="C1020" t="s">
        <v>43</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3">
      <c r="A1021">
        <v>36</v>
      </c>
      <c r="B1021" t="str">
        <f t="shared" si="15"/>
        <v>36-45</v>
      </c>
      <c r="C1021" t="s">
        <v>43</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3">
      <c r="A1022">
        <v>47</v>
      </c>
      <c r="B1022" t="str">
        <f t="shared" si="15"/>
        <v>46+</v>
      </c>
      <c r="C1022" t="s">
        <v>43</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3">
      <c r="A1023">
        <v>25</v>
      </c>
      <c r="B1023" t="str">
        <f t="shared" si="15"/>
        <v>18-25</v>
      </c>
      <c r="C1023" t="s">
        <v>35</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3">
      <c r="A1024">
        <v>37</v>
      </c>
      <c r="B1024" t="str">
        <f t="shared" si="15"/>
        <v>36-45</v>
      </c>
      <c r="C1024" t="s">
        <v>43</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3">
      <c r="A1025">
        <v>56</v>
      </c>
      <c r="B1025" t="str">
        <f t="shared" si="15"/>
        <v>46+</v>
      </c>
      <c r="C1025" t="s">
        <v>43</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3">
      <c r="A1026">
        <v>47</v>
      </c>
      <c r="B1026" t="str">
        <f t="shared" si="15"/>
        <v>46+</v>
      </c>
      <c r="C1026" t="s">
        <v>43</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3">
      <c r="A1027">
        <v>24</v>
      </c>
      <c r="B1027" t="str">
        <f t="shared" ref="B1027:B1090" si="16">IF(A1027&lt;=25,"18-25",IF(A1027&lt;=35,"26-35",IF(A1027&lt;=45,"36-45","46+")))</f>
        <v>18-25</v>
      </c>
      <c r="C1027" t="s">
        <v>43</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3">
      <c r="A1028">
        <v>32</v>
      </c>
      <c r="B1028" t="str">
        <f t="shared" si="16"/>
        <v>26-35</v>
      </c>
      <c r="C1028" t="s">
        <v>43</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3">
      <c r="A1029">
        <v>34</v>
      </c>
      <c r="B1029" t="str">
        <f t="shared" si="16"/>
        <v>26-35</v>
      </c>
      <c r="C1029" t="s">
        <v>43</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3">
      <c r="A1030">
        <v>41</v>
      </c>
      <c r="B1030" t="str">
        <f t="shared" si="16"/>
        <v>36-45</v>
      </c>
      <c r="C1030" t="s">
        <v>43</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3">
      <c r="A1031">
        <v>40</v>
      </c>
      <c r="B1031" t="str">
        <f t="shared" si="16"/>
        <v>36-45</v>
      </c>
      <c r="C1031" t="s">
        <v>43</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3">
      <c r="A1032">
        <v>31</v>
      </c>
      <c r="B1032" t="str">
        <f t="shared" si="16"/>
        <v>26-35</v>
      </c>
      <c r="C1032" t="s">
        <v>43</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3">
      <c r="A1033">
        <v>46</v>
      </c>
      <c r="B1033" t="str">
        <f t="shared" si="16"/>
        <v>46+</v>
      </c>
      <c r="C1033" t="s">
        <v>35</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3">
      <c r="A1034">
        <v>39</v>
      </c>
      <c r="B1034" t="str">
        <f t="shared" si="16"/>
        <v>36-45</v>
      </c>
      <c r="C1034" t="s">
        <v>35</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3">
      <c r="A1035">
        <v>31</v>
      </c>
      <c r="B1035" t="str">
        <f t="shared" si="16"/>
        <v>26-35</v>
      </c>
      <c r="C1035" t="s">
        <v>35</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3">
      <c r="A1036">
        <v>45</v>
      </c>
      <c r="B1036" t="str">
        <f t="shared" si="16"/>
        <v>36-45</v>
      </c>
      <c r="C1036" t="s">
        <v>43</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3">
      <c r="A1037">
        <v>31</v>
      </c>
      <c r="B1037" t="str">
        <f t="shared" si="16"/>
        <v>26-35</v>
      </c>
      <c r="C1037" t="s">
        <v>43</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3">
      <c r="A1038">
        <v>31</v>
      </c>
      <c r="B1038" t="str">
        <f t="shared" si="16"/>
        <v>26-35</v>
      </c>
      <c r="C1038" t="s">
        <v>35</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3">
      <c r="A1039">
        <v>45</v>
      </c>
      <c r="B1039" t="str">
        <f t="shared" si="16"/>
        <v>36-45</v>
      </c>
      <c r="C1039" t="s">
        <v>43</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3">
      <c r="A1040">
        <v>48</v>
      </c>
      <c r="B1040" t="str">
        <f t="shared" si="16"/>
        <v>46+</v>
      </c>
      <c r="C1040" t="s">
        <v>43</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3">
      <c r="A1041">
        <v>34</v>
      </c>
      <c r="B1041" t="str">
        <f t="shared" si="16"/>
        <v>26-35</v>
      </c>
      <c r="C1041" t="s">
        <v>35</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3">
      <c r="A1042">
        <v>40</v>
      </c>
      <c r="B1042" t="str">
        <f t="shared" si="16"/>
        <v>36-45</v>
      </c>
      <c r="C1042" t="s">
        <v>43</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3">
      <c r="A1043">
        <v>28</v>
      </c>
      <c r="B1043" t="str">
        <f t="shared" si="16"/>
        <v>26-35</v>
      </c>
      <c r="C1043" t="s">
        <v>43</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3">
      <c r="A1044">
        <v>44</v>
      </c>
      <c r="B1044" t="str">
        <f t="shared" si="16"/>
        <v>36-45</v>
      </c>
      <c r="C1044" t="s">
        <v>43</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3">
      <c r="A1045">
        <v>53</v>
      </c>
      <c r="B1045" t="str">
        <f t="shared" si="16"/>
        <v>46+</v>
      </c>
      <c r="C1045" t="s">
        <v>43</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3">
      <c r="A1046">
        <v>49</v>
      </c>
      <c r="B1046" t="str">
        <f t="shared" si="16"/>
        <v>46+</v>
      </c>
      <c r="C1046" t="s">
        <v>43</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3">
      <c r="A1047">
        <v>40</v>
      </c>
      <c r="B1047" t="str">
        <f t="shared" si="16"/>
        <v>36-45</v>
      </c>
      <c r="C1047" t="s">
        <v>43</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3">
      <c r="A1048">
        <v>44</v>
      </c>
      <c r="B1048" t="str">
        <f t="shared" si="16"/>
        <v>36-45</v>
      </c>
      <c r="C1048" t="s">
        <v>43</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3">
      <c r="A1049">
        <v>33</v>
      </c>
      <c r="B1049" t="str">
        <f t="shared" si="16"/>
        <v>26-35</v>
      </c>
      <c r="C1049" t="s">
        <v>43</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3">
      <c r="A1050">
        <v>34</v>
      </c>
      <c r="B1050" t="str">
        <f t="shared" si="16"/>
        <v>26-35</v>
      </c>
      <c r="C1050" t="s">
        <v>43</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3">
      <c r="A1051">
        <v>30</v>
      </c>
      <c r="B1051" t="str">
        <f t="shared" si="16"/>
        <v>26-35</v>
      </c>
      <c r="C1051" t="s">
        <v>43</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3">
      <c r="A1052">
        <v>42</v>
      </c>
      <c r="B1052" t="str">
        <f t="shared" si="16"/>
        <v>36-45</v>
      </c>
      <c r="C1052" t="s">
        <v>43</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3">
      <c r="A1053">
        <v>44</v>
      </c>
      <c r="B1053" t="str">
        <f t="shared" si="16"/>
        <v>36-45</v>
      </c>
      <c r="C1053" t="s">
        <v>43</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3">
      <c r="A1054">
        <v>30</v>
      </c>
      <c r="B1054" t="str">
        <f t="shared" si="16"/>
        <v>26-35</v>
      </c>
      <c r="C1054" t="s">
        <v>43</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3">
      <c r="A1055">
        <v>57</v>
      </c>
      <c r="B1055" t="str">
        <f t="shared" si="16"/>
        <v>46+</v>
      </c>
      <c r="C1055" t="s">
        <v>43</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3">
      <c r="A1056">
        <v>49</v>
      </c>
      <c r="B1056" t="str">
        <f t="shared" si="16"/>
        <v>46+</v>
      </c>
      <c r="C1056" t="s">
        <v>43</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3">
      <c r="A1057">
        <v>34</v>
      </c>
      <c r="B1057" t="str">
        <f t="shared" si="16"/>
        <v>26-35</v>
      </c>
      <c r="C1057" t="s">
        <v>43</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3">
      <c r="A1058">
        <v>28</v>
      </c>
      <c r="B1058" t="str">
        <f t="shared" si="16"/>
        <v>26-35</v>
      </c>
      <c r="C1058" t="s">
        <v>35</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3">
      <c r="A1059">
        <v>29</v>
      </c>
      <c r="B1059" t="str">
        <f t="shared" si="16"/>
        <v>26-35</v>
      </c>
      <c r="C1059" t="s">
        <v>35</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3">
      <c r="A1060">
        <v>34</v>
      </c>
      <c r="B1060" t="str">
        <f t="shared" si="16"/>
        <v>26-35</v>
      </c>
      <c r="C1060" t="s">
        <v>35</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3">
      <c r="A1061">
        <v>35</v>
      </c>
      <c r="B1061" t="str">
        <f t="shared" si="16"/>
        <v>26-35</v>
      </c>
      <c r="C1061" t="s">
        <v>43</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3">
      <c r="A1062">
        <v>24</v>
      </c>
      <c r="B1062" t="str">
        <f t="shared" si="16"/>
        <v>18-25</v>
      </c>
      <c r="C1062" t="s">
        <v>35</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3">
      <c r="A1063">
        <v>24</v>
      </c>
      <c r="B1063" t="str">
        <f t="shared" si="16"/>
        <v>18-25</v>
      </c>
      <c r="C1063" t="s">
        <v>43</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3">
      <c r="A1064">
        <v>44</v>
      </c>
      <c r="B1064" t="str">
        <f t="shared" si="16"/>
        <v>36-45</v>
      </c>
      <c r="C1064" t="s">
        <v>43</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3">
      <c r="A1065">
        <v>29</v>
      </c>
      <c r="B1065" t="str">
        <f t="shared" si="16"/>
        <v>26-35</v>
      </c>
      <c r="C1065" t="s">
        <v>43</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3">
      <c r="A1066">
        <v>30</v>
      </c>
      <c r="B1066" t="str">
        <f t="shared" si="16"/>
        <v>26-35</v>
      </c>
      <c r="C1066" t="s">
        <v>43</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3">
      <c r="A1067">
        <v>55</v>
      </c>
      <c r="B1067" t="str">
        <f t="shared" si="16"/>
        <v>46+</v>
      </c>
      <c r="C1067" t="s">
        <v>43</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3">
      <c r="A1068">
        <v>33</v>
      </c>
      <c r="B1068" t="str">
        <f t="shared" si="16"/>
        <v>26-35</v>
      </c>
      <c r="C1068" t="s">
        <v>43</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3">
      <c r="A1069">
        <v>47</v>
      </c>
      <c r="B1069" t="str">
        <f t="shared" si="16"/>
        <v>46+</v>
      </c>
      <c r="C1069" t="s">
        <v>43</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3">
      <c r="A1070">
        <v>28</v>
      </c>
      <c r="B1070" t="str">
        <f t="shared" si="16"/>
        <v>26-35</v>
      </c>
      <c r="C1070" t="s">
        <v>35</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3">
      <c r="A1071">
        <v>28</v>
      </c>
      <c r="B1071" t="str">
        <f t="shared" si="16"/>
        <v>26-35</v>
      </c>
      <c r="C1071" t="s">
        <v>43</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3">
      <c r="A1072">
        <v>28</v>
      </c>
      <c r="B1072" t="str">
        <f t="shared" si="16"/>
        <v>26-35</v>
      </c>
      <c r="C1072" t="s">
        <v>43</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3">
      <c r="A1073">
        <v>49</v>
      </c>
      <c r="B1073" t="str">
        <f t="shared" si="16"/>
        <v>46+</v>
      </c>
      <c r="C1073" t="s">
        <v>43</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3">
      <c r="A1074">
        <v>29</v>
      </c>
      <c r="B1074" t="str">
        <f t="shared" si="16"/>
        <v>26-35</v>
      </c>
      <c r="C1074" t="s">
        <v>43</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3">
      <c r="A1075">
        <v>28</v>
      </c>
      <c r="B1075" t="str">
        <f t="shared" si="16"/>
        <v>26-35</v>
      </c>
      <c r="C1075" t="s">
        <v>43</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3">
      <c r="A1076">
        <v>33</v>
      </c>
      <c r="B1076" t="str">
        <f t="shared" si="16"/>
        <v>26-35</v>
      </c>
      <c r="C1076" t="s">
        <v>43</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3">
      <c r="A1077">
        <v>32</v>
      </c>
      <c r="B1077" t="str">
        <f t="shared" si="16"/>
        <v>26-35</v>
      </c>
      <c r="C1077" t="s">
        <v>43</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3">
      <c r="A1078">
        <v>54</v>
      </c>
      <c r="B1078" t="str">
        <f t="shared" si="16"/>
        <v>46+</v>
      </c>
      <c r="C1078" t="s">
        <v>43</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3">
      <c r="A1079">
        <v>29</v>
      </c>
      <c r="B1079" t="str">
        <f t="shared" si="16"/>
        <v>26-35</v>
      </c>
      <c r="C1079" t="s">
        <v>35</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3">
      <c r="A1080">
        <v>44</v>
      </c>
      <c r="B1080" t="str">
        <f t="shared" si="16"/>
        <v>36-45</v>
      </c>
      <c r="C1080" t="s">
        <v>43</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3">
      <c r="A1081">
        <v>39</v>
      </c>
      <c r="B1081" t="str">
        <f t="shared" si="16"/>
        <v>36-45</v>
      </c>
      <c r="C1081" t="s">
        <v>43</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3">
      <c r="A1082">
        <v>46</v>
      </c>
      <c r="B1082" t="str">
        <f t="shared" si="16"/>
        <v>46+</v>
      </c>
      <c r="C1082" t="s">
        <v>43</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3">
      <c r="A1083">
        <v>35</v>
      </c>
      <c r="B1083" t="str">
        <f t="shared" si="16"/>
        <v>26-35</v>
      </c>
      <c r="C1083" t="s">
        <v>43</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3">
      <c r="A1084">
        <v>23</v>
      </c>
      <c r="B1084" t="str">
        <f t="shared" si="16"/>
        <v>18-25</v>
      </c>
      <c r="C1084" t="s">
        <v>43</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3">
      <c r="A1085">
        <v>40</v>
      </c>
      <c r="B1085" t="str">
        <f t="shared" si="16"/>
        <v>36-45</v>
      </c>
      <c r="C1085" t="s">
        <v>35</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3">
      <c r="A1086">
        <v>34</v>
      </c>
      <c r="B1086" t="str">
        <f t="shared" si="16"/>
        <v>26-35</v>
      </c>
      <c r="C1086" t="s">
        <v>43</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3">
      <c r="A1087">
        <v>31</v>
      </c>
      <c r="B1087" t="str">
        <f t="shared" si="16"/>
        <v>26-35</v>
      </c>
      <c r="C1087" t="s">
        <v>35</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3">
      <c r="A1088">
        <v>50</v>
      </c>
      <c r="B1088" t="str">
        <f t="shared" si="16"/>
        <v>46+</v>
      </c>
      <c r="C1088" t="s">
        <v>43</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3">
      <c r="A1089">
        <v>34</v>
      </c>
      <c r="B1089" t="str">
        <f t="shared" si="16"/>
        <v>26-35</v>
      </c>
      <c r="C1089" t="s">
        <v>43</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3">
      <c r="A1090">
        <v>42</v>
      </c>
      <c r="B1090" t="str">
        <f t="shared" si="16"/>
        <v>36-45</v>
      </c>
      <c r="C1090" t="s">
        <v>43</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3">
      <c r="A1091">
        <v>37</v>
      </c>
      <c r="B1091" t="str">
        <f t="shared" ref="B1091:B1154" si="17">IF(A1091&lt;=25,"18-25",IF(A1091&lt;=35,"26-35",IF(A1091&lt;=45,"36-45","46+")))</f>
        <v>36-45</v>
      </c>
      <c r="C1091" t="s">
        <v>43</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3">
      <c r="A1092">
        <v>29</v>
      </c>
      <c r="B1092" t="str">
        <f t="shared" si="17"/>
        <v>26-35</v>
      </c>
      <c r="C1092" t="s">
        <v>43</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3">
      <c r="A1093">
        <v>33</v>
      </c>
      <c r="B1093" t="str">
        <f t="shared" si="17"/>
        <v>26-35</v>
      </c>
      <c r="C1093" t="s">
        <v>43</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3">
      <c r="A1094">
        <v>45</v>
      </c>
      <c r="B1094" t="str">
        <f t="shared" si="17"/>
        <v>36-45</v>
      </c>
      <c r="C1094" t="s">
        <v>43</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3">
      <c r="A1095">
        <v>42</v>
      </c>
      <c r="B1095" t="str">
        <f t="shared" si="17"/>
        <v>36-45</v>
      </c>
      <c r="C1095" t="s">
        <v>43</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3">
      <c r="A1096">
        <v>40</v>
      </c>
      <c r="B1096" t="str">
        <f t="shared" si="17"/>
        <v>36-45</v>
      </c>
      <c r="C1096" t="s">
        <v>43</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3">
      <c r="A1097">
        <v>33</v>
      </c>
      <c r="B1097" t="str">
        <f t="shared" si="17"/>
        <v>26-35</v>
      </c>
      <c r="C1097" t="s">
        <v>43</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3">
      <c r="A1098">
        <v>40</v>
      </c>
      <c r="B1098" t="str">
        <f t="shared" si="17"/>
        <v>36-45</v>
      </c>
      <c r="C1098" t="s">
        <v>43</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3">
      <c r="A1099">
        <v>24</v>
      </c>
      <c r="B1099" t="str">
        <f t="shared" si="17"/>
        <v>18-25</v>
      </c>
      <c r="C1099" t="s">
        <v>43</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3">
      <c r="A1100">
        <v>40</v>
      </c>
      <c r="B1100" t="str">
        <f t="shared" si="17"/>
        <v>36-45</v>
      </c>
      <c r="C1100" t="s">
        <v>43</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3">
      <c r="A1101">
        <v>45</v>
      </c>
      <c r="B1101" t="str">
        <f t="shared" si="17"/>
        <v>36-45</v>
      </c>
      <c r="C1101" t="s">
        <v>43</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3">
      <c r="A1102">
        <v>35</v>
      </c>
      <c r="B1102" t="str">
        <f t="shared" si="17"/>
        <v>26-35</v>
      </c>
      <c r="C1102" t="s">
        <v>43</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3">
      <c r="A1103">
        <v>32</v>
      </c>
      <c r="B1103" t="str">
        <f t="shared" si="17"/>
        <v>26-35</v>
      </c>
      <c r="C1103" t="s">
        <v>43</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3">
      <c r="A1104">
        <v>36</v>
      </c>
      <c r="B1104" t="str">
        <f t="shared" si="17"/>
        <v>36-45</v>
      </c>
      <c r="C1104" t="s">
        <v>43</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3">
      <c r="A1105">
        <v>48</v>
      </c>
      <c r="B1105" t="str">
        <f t="shared" si="17"/>
        <v>46+</v>
      </c>
      <c r="C1105" t="s">
        <v>43</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3">
      <c r="A1106">
        <v>29</v>
      </c>
      <c r="B1106" t="str">
        <f t="shared" si="17"/>
        <v>26-35</v>
      </c>
      <c r="C1106" t="s">
        <v>43</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3">
      <c r="A1107">
        <v>33</v>
      </c>
      <c r="B1107" t="str">
        <f t="shared" si="17"/>
        <v>26-35</v>
      </c>
      <c r="C1107" t="s">
        <v>43</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3">
      <c r="A1108">
        <v>30</v>
      </c>
      <c r="B1108" t="str">
        <f t="shared" si="17"/>
        <v>26-35</v>
      </c>
      <c r="C1108" t="s">
        <v>35</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3">
      <c r="A1109">
        <v>38</v>
      </c>
      <c r="B1109" t="str">
        <f t="shared" si="17"/>
        <v>36-45</v>
      </c>
      <c r="C1109" t="s">
        <v>43</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3">
      <c r="A1110">
        <v>35</v>
      </c>
      <c r="B1110" t="str">
        <f t="shared" si="17"/>
        <v>26-35</v>
      </c>
      <c r="C1110" t="s">
        <v>43</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3">
      <c r="A1111">
        <v>30</v>
      </c>
      <c r="B1111" t="str">
        <f t="shared" si="17"/>
        <v>26-35</v>
      </c>
      <c r="C1111" t="s">
        <v>43</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3">
      <c r="A1112">
        <v>35</v>
      </c>
      <c r="B1112" t="str">
        <f t="shared" si="17"/>
        <v>26-35</v>
      </c>
      <c r="C1112" t="s">
        <v>35</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3">
      <c r="A1113">
        <v>53</v>
      </c>
      <c r="B1113" t="str">
        <f t="shared" si="17"/>
        <v>46+</v>
      </c>
      <c r="C1113" t="s">
        <v>35</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3">
      <c r="A1114">
        <v>38</v>
      </c>
      <c r="B1114" t="str">
        <f t="shared" si="17"/>
        <v>36-45</v>
      </c>
      <c r="C1114" t="s">
        <v>35</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3">
      <c r="A1115">
        <v>32</v>
      </c>
      <c r="B1115" t="str">
        <f t="shared" si="17"/>
        <v>26-35</v>
      </c>
      <c r="C1115" t="s">
        <v>43</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3">
      <c r="A1116">
        <v>48</v>
      </c>
      <c r="B1116" t="str">
        <f t="shared" si="17"/>
        <v>46+</v>
      </c>
      <c r="C1116" t="s">
        <v>43</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3">
      <c r="A1117">
        <v>34</v>
      </c>
      <c r="B1117" t="str">
        <f t="shared" si="17"/>
        <v>26-35</v>
      </c>
      <c r="C1117" t="s">
        <v>43</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3">
      <c r="A1118">
        <v>55</v>
      </c>
      <c r="B1118" t="str">
        <f t="shared" si="17"/>
        <v>46+</v>
      </c>
      <c r="C1118" t="s">
        <v>43</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3">
      <c r="A1119">
        <v>34</v>
      </c>
      <c r="B1119" t="str">
        <f t="shared" si="17"/>
        <v>26-35</v>
      </c>
      <c r="C1119" t="s">
        <v>43</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3">
      <c r="A1120">
        <v>26</v>
      </c>
      <c r="B1120" t="str">
        <f t="shared" si="17"/>
        <v>26-35</v>
      </c>
      <c r="C1120" t="s">
        <v>43</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3">
      <c r="A1121">
        <v>38</v>
      </c>
      <c r="B1121" t="str">
        <f t="shared" si="17"/>
        <v>36-45</v>
      </c>
      <c r="C1121" t="s">
        <v>43</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3">
      <c r="A1122">
        <v>38</v>
      </c>
      <c r="B1122" t="str">
        <f t="shared" si="17"/>
        <v>36-45</v>
      </c>
      <c r="C1122" t="s">
        <v>43</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3">
      <c r="A1123">
        <v>36</v>
      </c>
      <c r="B1123" t="str">
        <f t="shared" si="17"/>
        <v>36-45</v>
      </c>
      <c r="C1123" t="s">
        <v>43</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3">
      <c r="A1124">
        <v>29</v>
      </c>
      <c r="B1124" t="str">
        <f t="shared" si="17"/>
        <v>26-35</v>
      </c>
      <c r="C1124" t="s">
        <v>43</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3">
      <c r="A1125">
        <v>35</v>
      </c>
      <c r="B1125" t="str">
        <f t="shared" si="17"/>
        <v>26-35</v>
      </c>
      <c r="C1125" t="s">
        <v>43</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3">
      <c r="A1126">
        <v>39</v>
      </c>
      <c r="B1126" t="str">
        <f t="shared" si="17"/>
        <v>36-45</v>
      </c>
      <c r="C1126" t="s">
        <v>43</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3">
      <c r="A1127">
        <v>29</v>
      </c>
      <c r="B1127" t="str">
        <f t="shared" si="17"/>
        <v>26-35</v>
      </c>
      <c r="C1127" t="s">
        <v>43</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3">
      <c r="A1128">
        <v>50</v>
      </c>
      <c r="B1128" t="str">
        <f t="shared" si="17"/>
        <v>46+</v>
      </c>
      <c r="C1128" t="s">
        <v>43</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3">
      <c r="A1129">
        <v>23</v>
      </c>
      <c r="B1129" t="str">
        <f t="shared" si="17"/>
        <v>18-25</v>
      </c>
      <c r="C1129" t="s">
        <v>43</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3">
      <c r="A1130">
        <v>36</v>
      </c>
      <c r="B1130" t="str">
        <f t="shared" si="17"/>
        <v>36-45</v>
      </c>
      <c r="C1130" t="s">
        <v>43</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3">
      <c r="A1131">
        <v>42</v>
      </c>
      <c r="B1131" t="str">
        <f t="shared" si="17"/>
        <v>36-45</v>
      </c>
      <c r="C1131" t="s">
        <v>43</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3">
      <c r="A1132">
        <v>35</v>
      </c>
      <c r="B1132" t="str">
        <f t="shared" si="17"/>
        <v>26-35</v>
      </c>
      <c r="C1132" t="s">
        <v>43</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3">
      <c r="A1133">
        <v>34</v>
      </c>
      <c r="B1133" t="str">
        <f t="shared" si="17"/>
        <v>26-35</v>
      </c>
      <c r="C1133" t="s">
        <v>43</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3">
      <c r="A1134">
        <v>40</v>
      </c>
      <c r="B1134" t="str">
        <f t="shared" si="17"/>
        <v>36-45</v>
      </c>
      <c r="C1134" t="s">
        <v>43</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3">
      <c r="A1135">
        <v>43</v>
      </c>
      <c r="B1135" t="str">
        <f t="shared" si="17"/>
        <v>36-45</v>
      </c>
      <c r="C1135" t="s">
        <v>43</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3">
      <c r="A1136">
        <v>35</v>
      </c>
      <c r="B1136" t="str">
        <f t="shared" si="17"/>
        <v>26-35</v>
      </c>
      <c r="C1136" t="s">
        <v>43</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3">
      <c r="A1137">
        <v>46</v>
      </c>
      <c r="B1137" t="str">
        <f t="shared" si="17"/>
        <v>46+</v>
      </c>
      <c r="C1137" t="s">
        <v>43</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3">
      <c r="A1138">
        <v>28</v>
      </c>
      <c r="B1138" t="str">
        <f t="shared" si="17"/>
        <v>26-35</v>
      </c>
      <c r="C1138" t="s">
        <v>35</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3">
      <c r="A1139">
        <v>22</v>
      </c>
      <c r="B1139" t="str">
        <f t="shared" si="17"/>
        <v>18-25</v>
      </c>
      <c r="C1139" t="s">
        <v>43</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3">
      <c r="A1140">
        <v>50</v>
      </c>
      <c r="B1140" t="str">
        <f t="shared" si="17"/>
        <v>46+</v>
      </c>
      <c r="C1140" t="s">
        <v>43</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3">
      <c r="A1141">
        <v>32</v>
      </c>
      <c r="B1141" t="str">
        <f t="shared" si="17"/>
        <v>26-35</v>
      </c>
      <c r="C1141" t="s">
        <v>43</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3">
      <c r="A1142">
        <v>44</v>
      </c>
      <c r="B1142" t="str">
        <f t="shared" si="17"/>
        <v>36-45</v>
      </c>
      <c r="C1142" t="s">
        <v>43</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3">
      <c r="A1143">
        <v>30</v>
      </c>
      <c r="B1143" t="str">
        <f t="shared" si="17"/>
        <v>26-35</v>
      </c>
      <c r="C1143" t="s">
        <v>43</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3">
      <c r="A1144">
        <v>45</v>
      </c>
      <c r="B1144" t="str">
        <f t="shared" si="17"/>
        <v>36-45</v>
      </c>
      <c r="C1144" t="s">
        <v>43</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3">
      <c r="A1145">
        <v>45</v>
      </c>
      <c r="B1145" t="str">
        <f t="shared" si="17"/>
        <v>36-45</v>
      </c>
      <c r="C1145" t="s">
        <v>43</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3">
      <c r="A1146">
        <v>31</v>
      </c>
      <c r="B1146" t="str">
        <f t="shared" si="17"/>
        <v>26-35</v>
      </c>
      <c r="C1146" t="s">
        <v>43</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3">
      <c r="A1147">
        <v>36</v>
      </c>
      <c r="B1147" t="str">
        <f t="shared" si="17"/>
        <v>36-45</v>
      </c>
      <c r="C1147" t="s">
        <v>43</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3">
      <c r="A1148">
        <v>34</v>
      </c>
      <c r="B1148" t="str">
        <f t="shared" si="17"/>
        <v>26-35</v>
      </c>
      <c r="C1148" t="s">
        <v>43</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3">
      <c r="A1149">
        <v>49</v>
      </c>
      <c r="B1149" t="str">
        <f t="shared" si="17"/>
        <v>46+</v>
      </c>
      <c r="C1149" t="s">
        <v>43</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3">
      <c r="A1150">
        <v>39</v>
      </c>
      <c r="B1150" t="str">
        <f t="shared" si="17"/>
        <v>36-45</v>
      </c>
      <c r="C1150" t="s">
        <v>43</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3">
      <c r="A1151">
        <v>27</v>
      </c>
      <c r="B1151" t="str">
        <f t="shared" si="17"/>
        <v>26-35</v>
      </c>
      <c r="C1151" t="s">
        <v>43</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3">
      <c r="A1152">
        <v>35</v>
      </c>
      <c r="B1152" t="str">
        <f t="shared" si="17"/>
        <v>26-35</v>
      </c>
      <c r="C1152" t="s">
        <v>43</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3">
      <c r="A1153">
        <v>28</v>
      </c>
      <c r="B1153" t="str">
        <f t="shared" si="17"/>
        <v>26-35</v>
      </c>
      <c r="C1153" t="s">
        <v>43</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3">
      <c r="A1154">
        <v>21</v>
      </c>
      <c r="B1154" t="str">
        <f t="shared" si="17"/>
        <v>18-25</v>
      </c>
      <c r="C1154" t="s">
        <v>43</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3">
      <c r="A1155">
        <v>18</v>
      </c>
      <c r="B1155" t="str">
        <f t="shared" ref="B1155:B1218" si="18">IF(A1155&lt;=25,"18-25",IF(A1155&lt;=35,"26-35",IF(A1155&lt;=45,"36-45","46+")))</f>
        <v>18-25</v>
      </c>
      <c r="C1155" t="s">
        <v>35</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3">
      <c r="A1156">
        <v>47</v>
      </c>
      <c r="B1156" t="str">
        <f t="shared" si="18"/>
        <v>46+</v>
      </c>
      <c r="C1156" t="s">
        <v>43</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3">
      <c r="A1157">
        <v>39</v>
      </c>
      <c r="B1157" t="str">
        <f t="shared" si="18"/>
        <v>36-45</v>
      </c>
      <c r="C1157" t="s">
        <v>43</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3">
      <c r="A1158">
        <v>40</v>
      </c>
      <c r="B1158" t="str">
        <f t="shared" si="18"/>
        <v>36-45</v>
      </c>
      <c r="C1158" t="s">
        <v>43</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3">
      <c r="A1159">
        <v>35</v>
      </c>
      <c r="B1159" t="str">
        <f t="shared" si="18"/>
        <v>26-35</v>
      </c>
      <c r="C1159" t="s">
        <v>43</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3">
      <c r="A1160">
        <v>37</v>
      </c>
      <c r="B1160" t="str">
        <f t="shared" si="18"/>
        <v>36-45</v>
      </c>
      <c r="C1160" t="s">
        <v>43</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3">
      <c r="A1161">
        <v>39</v>
      </c>
      <c r="B1161" t="str">
        <f t="shared" si="18"/>
        <v>36-45</v>
      </c>
      <c r="C1161" t="s">
        <v>43</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3">
      <c r="A1162">
        <v>45</v>
      </c>
      <c r="B1162" t="str">
        <f t="shared" si="18"/>
        <v>36-45</v>
      </c>
      <c r="C1162" t="s">
        <v>43</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3">
      <c r="A1163">
        <v>38</v>
      </c>
      <c r="B1163" t="str">
        <f t="shared" si="18"/>
        <v>36-45</v>
      </c>
      <c r="C1163" t="s">
        <v>43</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3">
      <c r="A1164">
        <v>35</v>
      </c>
      <c r="B1164" t="str">
        <f t="shared" si="18"/>
        <v>26-35</v>
      </c>
      <c r="C1164" t="s">
        <v>35</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3">
      <c r="A1165">
        <v>37</v>
      </c>
      <c r="B1165" t="str">
        <f t="shared" si="18"/>
        <v>36-45</v>
      </c>
      <c r="C1165" t="s">
        <v>43</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3">
      <c r="A1166">
        <v>40</v>
      </c>
      <c r="B1166" t="str">
        <f t="shared" si="18"/>
        <v>36-45</v>
      </c>
      <c r="C1166" t="s">
        <v>43</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3">
      <c r="A1167">
        <v>44</v>
      </c>
      <c r="B1167" t="str">
        <f t="shared" si="18"/>
        <v>36-45</v>
      </c>
      <c r="C1167" t="s">
        <v>43</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3">
      <c r="A1168">
        <v>48</v>
      </c>
      <c r="B1168" t="str">
        <f t="shared" si="18"/>
        <v>46+</v>
      </c>
      <c r="C1168" t="s">
        <v>43</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3">
      <c r="A1169">
        <v>35</v>
      </c>
      <c r="B1169" t="str">
        <f t="shared" si="18"/>
        <v>26-35</v>
      </c>
      <c r="C1169" t="s">
        <v>35</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3">
      <c r="A1170">
        <v>24</v>
      </c>
      <c r="B1170" t="str">
        <f t="shared" si="18"/>
        <v>18-25</v>
      </c>
      <c r="C1170" t="s">
        <v>43</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3">
      <c r="A1171">
        <v>27</v>
      </c>
      <c r="B1171" t="str">
        <f t="shared" si="18"/>
        <v>26-35</v>
      </c>
      <c r="C1171" t="s">
        <v>43</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3">
      <c r="A1172">
        <v>27</v>
      </c>
      <c r="B1172" t="str">
        <f t="shared" si="18"/>
        <v>26-35</v>
      </c>
      <c r="C1172" t="s">
        <v>43</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3">
      <c r="A1173">
        <v>40</v>
      </c>
      <c r="B1173" t="str">
        <f t="shared" si="18"/>
        <v>36-45</v>
      </c>
      <c r="C1173" t="s">
        <v>35</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3">
      <c r="A1174">
        <v>29</v>
      </c>
      <c r="B1174" t="str">
        <f t="shared" si="18"/>
        <v>26-35</v>
      </c>
      <c r="C1174" t="s">
        <v>43</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3">
      <c r="A1175">
        <v>36</v>
      </c>
      <c r="B1175" t="str">
        <f t="shared" si="18"/>
        <v>36-45</v>
      </c>
      <c r="C1175" t="s">
        <v>43</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3">
      <c r="A1176">
        <v>25</v>
      </c>
      <c r="B1176" t="str">
        <f t="shared" si="18"/>
        <v>18-25</v>
      </c>
      <c r="C1176" t="s">
        <v>43</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3">
      <c r="A1177">
        <v>39</v>
      </c>
      <c r="B1177" t="str">
        <f t="shared" si="18"/>
        <v>36-45</v>
      </c>
      <c r="C1177" t="s">
        <v>43</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3">
      <c r="A1178">
        <v>49</v>
      </c>
      <c r="B1178" t="str">
        <f t="shared" si="18"/>
        <v>46+</v>
      </c>
      <c r="C1178" t="s">
        <v>43</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3">
      <c r="A1179">
        <v>50</v>
      </c>
      <c r="B1179" t="str">
        <f t="shared" si="18"/>
        <v>46+</v>
      </c>
      <c r="C1179" t="s">
        <v>43</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3">
      <c r="A1180">
        <v>20</v>
      </c>
      <c r="B1180" t="str">
        <f t="shared" si="18"/>
        <v>18-25</v>
      </c>
      <c r="C1180" t="s">
        <v>43</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3">
      <c r="A1181">
        <v>34</v>
      </c>
      <c r="B1181" t="str">
        <f t="shared" si="18"/>
        <v>26-35</v>
      </c>
      <c r="C1181" t="s">
        <v>43</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3">
      <c r="A1182">
        <v>36</v>
      </c>
      <c r="B1182" t="str">
        <f t="shared" si="18"/>
        <v>36-45</v>
      </c>
      <c r="C1182" t="s">
        <v>43</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3">
      <c r="A1183">
        <v>49</v>
      </c>
      <c r="B1183" t="str">
        <f t="shared" si="18"/>
        <v>46+</v>
      </c>
      <c r="C1183" t="s">
        <v>43</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3">
      <c r="A1184">
        <v>36</v>
      </c>
      <c r="B1184" t="str">
        <f t="shared" si="18"/>
        <v>36-45</v>
      </c>
      <c r="C1184" t="s">
        <v>43</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3">
      <c r="A1185">
        <v>36</v>
      </c>
      <c r="B1185" t="str">
        <f t="shared" si="18"/>
        <v>36-45</v>
      </c>
      <c r="C1185" t="s">
        <v>43</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3">
      <c r="A1186">
        <v>54</v>
      </c>
      <c r="B1186" t="str">
        <f t="shared" si="18"/>
        <v>46+</v>
      </c>
      <c r="C1186" t="s">
        <v>43</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3">
      <c r="A1187">
        <v>43</v>
      </c>
      <c r="B1187" t="str">
        <f t="shared" si="18"/>
        <v>36-45</v>
      </c>
      <c r="C1187" t="s">
        <v>43</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3">
      <c r="A1188">
        <v>35</v>
      </c>
      <c r="B1188" t="str">
        <f t="shared" si="18"/>
        <v>26-35</v>
      </c>
      <c r="C1188" t="s">
        <v>35</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3">
      <c r="A1189">
        <v>38</v>
      </c>
      <c r="B1189" t="str">
        <f t="shared" si="18"/>
        <v>36-45</v>
      </c>
      <c r="C1189" t="s">
        <v>43</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3">
      <c r="A1190">
        <v>29</v>
      </c>
      <c r="B1190" t="str">
        <f t="shared" si="18"/>
        <v>26-35</v>
      </c>
      <c r="C1190" t="s">
        <v>43</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3">
      <c r="A1191">
        <v>33</v>
      </c>
      <c r="B1191" t="str">
        <f t="shared" si="18"/>
        <v>26-35</v>
      </c>
      <c r="C1191" t="s">
        <v>43</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3">
      <c r="A1192">
        <v>32</v>
      </c>
      <c r="B1192" t="str">
        <f t="shared" si="18"/>
        <v>26-35</v>
      </c>
      <c r="C1192" t="s">
        <v>43</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3">
      <c r="A1193">
        <v>31</v>
      </c>
      <c r="B1193" t="str">
        <f t="shared" si="18"/>
        <v>26-35</v>
      </c>
      <c r="C1193" t="s">
        <v>43</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3">
      <c r="A1194">
        <v>49</v>
      </c>
      <c r="B1194" t="str">
        <f t="shared" si="18"/>
        <v>46+</v>
      </c>
      <c r="C1194" t="s">
        <v>43</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3">
      <c r="A1195">
        <v>38</v>
      </c>
      <c r="B1195" t="str">
        <f t="shared" si="18"/>
        <v>36-45</v>
      </c>
      <c r="C1195" t="s">
        <v>43</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3">
      <c r="A1196">
        <v>47</v>
      </c>
      <c r="B1196" t="str">
        <f t="shared" si="18"/>
        <v>46+</v>
      </c>
      <c r="C1196" t="s">
        <v>43</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3">
      <c r="A1197">
        <v>49</v>
      </c>
      <c r="B1197" t="str">
        <f t="shared" si="18"/>
        <v>46+</v>
      </c>
      <c r="C1197" t="s">
        <v>43</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3">
      <c r="A1198">
        <v>41</v>
      </c>
      <c r="B1198" t="str">
        <f t="shared" si="18"/>
        <v>36-45</v>
      </c>
      <c r="C1198" t="s">
        <v>43</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3">
      <c r="A1199">
        <v>20</v>
      </c>
      <c r="B1199" t="str">
        <f t="shared" si="18"/>
        <v>18-25</v>
      </c>
      <c r="C1199" t="s">
        <v>43</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3">
      <c r="A1200">
        <v>33</v>
      </c>
      <c r="B1200" t="str">
        <f t="shared" si="18"/>
        <v>26-35</v>
      </c>
      <c r="C1200" t="s">
        <v>43</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3">
      <c r="A1201">
        <v>36</v>
      </c>
      <c r="B1201" t="str">
        <f t="shared" si="18"/>
        <v>36-45</v>
      </c>
      <c r="C1201" t="s">
        <v>43</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3">
      <c r="A1202">
        <v>44</v>
      </c>
      <c r="B1202" t="str">
        <f t="shared" si="18"/>
        <v>36-45</v>
      </c>
      <c r="C1202" t="s">
        <v>43</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3">
      <c r="A1203">
        <v>23</v>
      </c>
      <c r="B1203" t="str">
        <f t="shared" si="18"/>
        <v>18-25</v>
      </c>
      <c r="C1203" t="s">
        <v>35</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3">
      <c r="A1204">
        <v>38</v>
      </c>
      <c r="B1204" t="str">
        <f t="shared" si="18"/>
        <v>36-45</v>
      </c>
      <c r="C1204" t="s">
        <v>43</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3">
      <c r="A1205">
        <v>53</v>
      </c>
      <c r="B1205" t="str">
        <f t="shared" si="18"/>
        <v>46+</v>
      </c>
      <c r="C1205" t="s">
        <v>43</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3">
      <c r="A1206">
        <v>48</v>
      </c>
      <c r="B1206" t="str">
        <f t="shared" si="18"/>
        <v>46+</v>
      </c>
      <c r="C1206" t="s">
        <v>35</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3">
      <c r="A1207">
        <v>32</v>
      </c>
      <c r="B1207" t="str">
        <f t="shared" si="18"/>
        <v>26-35</v>
      </c>
      <c r="C1207" t="s">
        <v>35</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3">
      <c r="A1208">
        <v>26</v>
      </c>
      <c r="B1208" t="str">
        <f t="shared" si="18"/>
        <v>26-35</v>
      </c>
      <c r="C1208" t="s">
        <v>43</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3">
      <c r="A1209">
        <v>55</v>
      </c>
      <c r="B1209" t="str">
        <f t="shared" si="18"/>
        <v>46+</v>
      </c>
      <c r="C1209" t="s">
        <v>43</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3">
      <c r="A1210">
        <v>34</v>
      </c>
      <c r="B1210" t="str">
        <f t="shared" si="18"/>
        <v>26-35</v>
      </c>
      <c r="C1210" t="s">
        <v>43</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3">
      <c r="A1211">
        <v>60</v>
      </c>
      <c r="B1211" t="str">
        <f t="shared" si="18"/>
        <v>46+</v>
      </c>
      <c r="C1211" t="s">
        <v>43</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3">
      <c r="A1212">
        <v>33</v>
      </c>
      <c r="B1212" t="str">
        <f t="shared" si="18"/>
        <v>26-35</v>
      </c>
      <c r="C1212" t="s">
        <v>43</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3">
      <c r="A1213">
        <v>37</v>
      </c>
      <c r="B1213" t="str">
        <f t="shared" si="18"/>
        <v>36-45</v>
      </c>
      <c r="C1213" t="s">
        <v>43</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3">
      <c r="A1214">
        <v>34</v>
      </c>
      <c r="B1214" t="str">
        <f t="shared" si="18"/>
        <v>26-35</v>
      </c>
      <c r="C1214" t="s">
        <v>43</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3">
      <c r="A1215">
        <v>23</v>
      </c>
      <c r="B1215" t="str">
        <f t="shared" si="18"/>
        <v>18-25</v>
      </c>
      <c r="C1215" t="s">
        <v>35</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3">
      <c r="A1216">
        <v>44</v>
      </c>
      <c r="B1216" t="str">
        <f t="shared" si="18"/>
        <v>36-45</v>
      </c>
      <c r="C1216" t="s">
        <v>43</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3">
      <c r="A1217">
        <v>35</v>
      </c>
      <c r="B1217" t="str">
        <f t="shared" si="18"/>
        <v>26-35</v>
      </c>
      <c r="C1217" t="s">
        <v>43</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3">
      <c r="A1218">
        <v>43</v>
      </c>
      <c r="B1218" t="str">
        <f t="shared" si="18"/>
        <v>36-45</v>
      </c>
      <c r="C1218" t="s">
        <v>43</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3">
      <c r="A1219">
        <v>24</v>
      </c>
      <c r="B1219" t="str">
        <f t="shared" ref="B1219:B1282" si="19">IF(A1219&lt;=25,"18-25",IF(A1219&lt;=35,"26-35",IF(A1219&lt;=45,"36-45","46+")))</f>
        <v>18-25</v>
      </c>
      <c r="C1219" t="s">
        <v>43</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3">
      <c r="A1220">
        <v>41</v>
      </c>
      <c r="B1220" t="str">
        <f t="shared" si="19"/>
        <v>36-45</v>
      </c>
      <c r="C1220" t="s">
        <v>43</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3">
      <c r="A1221">
        <v>29</v>
      </c>
      <c r="B1221" t="str">
        <f t="shared" si="19"/>
        <v>26-35</v>
      </c>
      <c r="C1221" t="s">
        <v>43</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3">
      <c r="A1222">
        <v>36</v>
      </c>
      <c r="B1222" t="str">
        <f t="shared" si="19"/>
        <v>36-45</v>
      </c>
      <c r="C1222" t="s">
        <v>43</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3">
      <c r="A1223">
        <v>45</v>
      </c>
      <c r="B1223" t="str">
        <f t="shared" si="19"/>
        <v>36-45</v>
      </c>
      <c r="C1223" t="s">
        <v>43</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3">
      <c r="A1224">
        <v>24</v>
      </c>
      <c r="B1224" t="str">
        <f t="shared" si="19"/>
        <v>18-25</v>
      </c>
      <c r="C1224" t="s">
        <v>35</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3">
      <c r="A1225">
        <v>47</v>
      </c>
      <c r="B1225" t="str">
        <f t="shared" si="19"/>
        <v>46+</v>
      </c>
      <c r="C1225" t="s">
        <v>35</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3">
      <c r="A1226">
        <v>26</v>
      </c>
      <c r="B1226" t="str">
        <f t="shared" si="19"/>
        <v>26-35</v>
      </c>
      <c r="C1226" t="s">
        <v>43</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3">
      <c r="A1227">
        <v>45</v>
      </c>
      <c r="B1227" t="str">
        <f t="shared" si="19"/>
        <v>36-45</v>
      </c>
      <c r="C1227" t="s">
        <v>43</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3">
      <c r="A1228">
        <v>32</v>
      </c>
      <c r="B1228" t="str">
        <f t="shared" si="19"/>
        <v>26-35</v>
      </c>
      <c r="C1228" t="s">
        <v>43</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3">
      <c r="A1229">
        <v>31</v>
      </c>
      <c r="B1229" t="str">
        <f t="shared" si="19"/>
        <v>26-35</v>
      </c>
      <c r="C1229" t="s">
        <v>43</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3">
      <c r="A1230">
        <v>41</v>
      </c>
      <c r="B1230" t="str">
        <f t="shared" si="19"/>
        <v>36-45</v>
      </c>
      <c r="C1230" t="s">
        <v>43</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3">
      <c r="A1231">
        <v>40</v>
      </c>
      <c r="B1231" t="str">
        <f t="shared" si="19"/>
        <v>36-45</v>
      </c>
      <c r="C1231" t="s">
        <v>43</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3">
      <c r="A1232">
        <v>24</v>
      </c>
      <c r="B1232" t="str">
        <f t="shared" si="19"/>
        <v>18-25</v>
      </c>
      <c r="C1232" t="s">
        <v>43</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3">
      <c r="A1233">
        <v>46</v>
      </c>
      <c r="B1233" t="str">
        <f t="shared" si="19"/>
        <v>46+</v>
      </c>
      <c r="C1233" t="s">
        <v>43</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3">
      <c r="A1234">
        <v>35</v>
      </c>
      <c r="B1234" t="str">
        <f t="shared" si="19"/>
        <v>26-35</v>
      </c>
      <c r="C1234" t="s">
        <v>43</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3">
      <c r="A1235">
        <v>30</v>
      </c>
      <c r="B1235" t="str">
        <f t="shared" si="19"/>
        <v>26-35</v>
      </c>
      <c r="C1235" t="s">
        <v>43</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3">
      <c r="A1236">
        <v>47</v>
      </c>
      <c r="B1236" t="str">
        <f t="shared" si="19"/>
        <v>46+</v>
      </c>
      <c r="C1236" t="s">
        <v>43</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3">
      <c r="A1237">
        <v>46</v>
      </c>
      <c r="B1237" t="str">
        <f t="shared" si="19"/>
        <v>46+</v>
      </c>
      <c r="C1237" t="s">
        <v>43</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3">
      <c r="A1238">
        <v>36</v>
      </c>
      <c r="B1238" t="str">
        <f t="shared" si="19"/>
        <v>36-45</v>
      </c>
      <c r="C1238" t="s">
        <v>35</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3">
      <c r="A1239">
        <v>32</v>
      </c>
      <c r="B1239" t="str">
        <f t="shared" si="19"/>
        <v>26-35</v>
      </c>
      <c r="C1239" t="s">
        <v>35</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3">
      <c r="A1240">
        <v>23</v>
      </c>
      <c r="B1240" t="str">
        <f t="shared" si="19"/>
        <v>18-25</v>
      </c>
      <c r="C1240" t="s">
        <v>43</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3">
      <c r="A1241">
        <v>31</v>
      </c>
      <c r="B1241" t="str">
        <f t="shared" si="19"/>
        <v>26-35</v>
      </c>
      <c r="C1241" t="s">
        <v>43</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3">
      <c r="A1242">
        <v>39</v>
      </c>
      <c r="B1242" t="str">
        <f t="shared" si="19"/>
        <v>36-45</v>
      </c>
      <c r="C1242" t="s">
        <v>43</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3">
      <c r="A1243">
        <v>32</v>
      </c>
      <c r="B1243" t="str">
        <f t="shared" si="19"/>
        <v>26-35</v>
      </c>
      <c r="C1243" t="s">
        <v>43</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3">
      <c r="A1244">
        <v>40</v>
      </c>
      <c r="B1244" t="str">
        <f t="shared" si="19"/>
        <v>36-45</v>
      </c>
      <c r="C1244" t="s">
        <v>43</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3">
      <c r="A1245">
        <v>45</v>
      </c>
      <c r="B1245" t="str">
        <f t="shared" si="19"/>
        <v>36-45</v>
      </c>
      <c r="C1245" t="s">
        <v>43</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3">
      <c r="A1246">
        <v>30</v>
      </c>
      <c r="B1246" t="str">
        <f t="shared" si="19"/>
        <v>26-35</v>
      </c>
      <c r="C1246" t="s">
        <v>43</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3">
      <c r="A1247">
        <v>24</v>
      </c>
      <c r="B1247" t="str">
        <f t="shared" si="19"/>
        <v>18-25</v>
      </c>
      <c r="C1247" t="s">
        <v>43</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3">
      <c r="A1248">
        <v>30</v>
      </c>
      <c r="B1248" t="str">
        <f t="shared" si="19"/>
        <v>26-35</v>
      </c>
      <c r="C1248" t="s">
        <v>35</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3">
      <c r="A1249">
        <v>31</v>
      </c>
      <c r="B1249" t="str">
        <f t="shared" si="19"/>
        <v>26-35</v>
      </c>
      <c r="C1249" t="s">
        <v>43</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3">
      <c r="A1250">
        <v>27</v>
      </c>
      <c r="B1250" t="str">
        <f t="shared" si="19"/>
        <v>26-35</v>
      </c>
      <c r="C1250" t="s">
        <v>43</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3">
      <c r="A1251">
        <v>29</v>
      </c>
      <c r="B1251" t="str">
        <f t="shared" si="19"/>
        <v>26-35</v>
      </c>
      <c r="C1251" t="s">
        <v>35</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3">
      <c r="A1252">
        <v>29</v>
      </c>
      <c r="B1252" t="str">
        <f t="shared" si="19"/>
        <v>26-35</v>
      </c>
      <c r="C1252" t="s">
        <v>43</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3">
      <c r="A1253">
        <v>30</v>
      </c>
      <c r="B1253" t="str">
        <f t="shared" si="19"/>
        <v>26-35</v>
      </c>
      <c r="C1253" t="s">
        <v>43</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3">
      <c r="A1254">
        <v>34</v>
      </c>
      <c r="B1254" t="str">
        <f t="shared" si="19"/>
        <v>26-35</v>
      </c>
      <c r="C1254" t="s">
        <v>43</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3">
      <c r="A1255">
        <v>33</v>
      </c>
      <c r="B1255" t="str">
        <f t="shared" si="19"/>
        <v>26-35</v>
      </c>
      <c r="C1255" t="s">
        <v>43</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3">
      <c r="A1256">
        <v>49</v>
      </c>
      <c r="B1256" t="str">
        <f t="shared" si="19"/>
        <v>46+</v>
      </c>
      <c r="C1256" t="s">
        <v>43</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3">
      <c r="A1257">
        <v>33</v>
      </c>
      <c r="B1257" t="str">
        <f t="shared" si="19"/>
        <v>26-35</v>
      </c>
      <c r="C1257" t="s">
        <v>35</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3">
      <c r="A1258">
        <v>38</v>
      </c>
      <c r="B1258" t="str">
        <f t="shared" si="19"/>
        <v>36-45</v>
      </c>
      <c r="C1258" t="s">
        <v>43</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3">
      <c r="A1259">
        <v>31</v>
      </c>
      <c r="B1259" t="str">
        <f t="shared" si="19"/>
        <v>26-35</v>
      </c>
      <c r="C1259" t="s">
        <v>35</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3">
      <c r="A1260">
        <v>29</v>
      </c>
      <c r="B1260" t="str">
        <f t="shared" si="19"/>
        <v>26-35</v>
      </c>
      <c r="C1260" t="s">
        <v>43</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3">
      <c r="A1261">
        <v>30</v>
      </c>
      <c r="B1261" t="str">
        <f t="shared" si="19"/>
        <v>26-35</v>
      </c>
      <c r="C1261" t="s">
        <v>43</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3">
      <c r="A1262">
        <v>32</v>
      </c>
      <c r="B1262" t="str">
        <f t="shared" si="19"/>
        <v>26-35</v>
      </c>
      <c r="C1262" t="s">
        <v>43</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3">
      <c r="A1263">
        <v>38</v>
      </c>
      <c r="B1263" t="str">
        <f t="shared" si="19"/>
        <v>36-45</v>
      </c>
      <c r="C1263" t="s">
        <v>43</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3">
      <c r="A1264">
        <v>43</v>
      </c>
      <c r="B1264" t="str">
        <f t="shared" si="19"/>
        <v>36-45</v>
      </c>
      <c r="C1264" t="s">
        <v>35</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3">
      <c r="A1265">
        <v>42</v>
      </c>
      <c r="B1265" t="str">
        <f t="shared" si="19"/>
        <v>36-45</v>
      </c>
      <c r="C1265" t="s">
        <v>43</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3">
      <c r="A1266">
        <v>55</v>
      </c>
      <c r="B1266" t="str">
        <f t="shared" si="19"/>
        <v>46+</v>
      </c>
      <c r="C1266" t="s">
        <v>43</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3">
      <c r="A1267">
        <v>33</v>
      </c>
      <c r="B1267" t="str">
        <f t="shared" si="19"/>
        <v>26-35</v>
      </c>
      <c r="C1267" t="s">
        <v>43</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3">
      <c r="A1268">
        <v>41</v>
      </c>
      <c r="B1268" t="str">
        <f t="shared" si="19"/>
        <v>36-45</v>
      </c>
      <c r="C1268" t="s">
        <v>43</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3">
      <c r="A1269">
        <v>34</v>
      </c>
      <c r="B1269" t="str">
        <f t="shared" si="19"/>
        <v>26-35</v>
      </c>
      <c r="C1269" t="s">
        <v>43</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3">
      <c r="A1270">
        <v>53</v>
      </c>
      <c r="B1270" t="str">
        <f t="shared" si="19"/>
        <v>46+</v>
      </c>
      <c r="C1270" t="s">
        <v>43</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3">
      <c r="A1271">
        <v>43</v>
      </c>
      <c r="B1271" t="str">
        <f t="shared" si="19"/>
        <v>36-45</v>
      </c>
      <c r="C1271" t="s">
        <v>43</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3">
      <c r="A1272">
        <v>34</v>
      </c>
      <c r="B1272" t="str">
        <f t="shared" si="19"/>
        <v>26-35</v>
      </c>
      <c r="C1272" t="s">
        <v>43</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3">
      <c r="A1273">
        <v>21</v>
      </c>
      <c r="B1273" t="str">
        <f t="shared" si="19"/>
        <v>18-25</v>
      </c>
      <c r="C1273" t="s">
        <v>35</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3">
      <c r="A1274">
        <v>38</v>
      </c>
      <c r="B1274" t="str">
        <f t="shared" si="19"/>
        <v>36-45</v>
      </c>
      <c r="C1274" t="s">
        <v>43</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3">
      <c r="A1275">
        <v>22</v>
      </c>
      <c r="B1275" t="str">
        <f t="shared" si="19"/>
        <v>18-25</v>
      </c>
      <c r="C1275" t="s">
        <v>35</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3">
      <c r="A1276">
        <v>31</v>
      </c>
      <c r="B1276" t="str">
        <f t="shared" si="19"/>
        <v>26-35</v>
      </c>
      <c r="C1276" t="s">
        <v>43</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3">
      <c r="A1277">
        <v>51</v>
      </c>
      <c r="B1277" t="str">
        <f t="shared" si="19"/>
        <v>46+</v>
      </c>
      <c r="C1277" t="s">
        <v>43</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3">
      <c r="A1278">
        <v>37</v>
      </c>
      <c r="B1278" t="str">
        <f t="shared" si="19"/>
        <v>36-45</v>
      </c>
      <c r="C1278" t="s">
        <v>43</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3">
      <c r="A1279">
        <v>46</v>
      </c>
      <c r="B1279" t="str">
        <f t="shared" si="19"/>
        <v>46+</v>
      </c>
      <c r="C1279" t="s">
        <v>43</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3">
      <c r="A1280">
        <v>36</v>
      </c>
      <c r="B1280" t="str">
        <f t="shared" si="19"/>
        <v>36-45</v>
      </c>
      <c r="C1280" t="s">
        <v>43</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3">
      <c r="A1281">
        <v>44</v>
      </c>
      <c r="B1281" t="str">
        <f t="shared" si="19"/>
        <v>36-45</v>
      </c>
      <c r="C1281" t="s">
        <v>35</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3">
      <c r="A1282">
        <v>37</v>
      </c>
      <c r="B1282" t="str">
        <f t="shared" si="19"/>
        <v>36-45</v>
      </c>
      <c r="C1282" t="s">
        <v>43</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3">
      <c r="A1283">
        <v>35</v>
      </c>
      <c r="B1283" t="str">
        <f t="shared" ref="B1283:B1346" si="20">IF(A1283&lt;=25,"18-25",IF(A1283&lt;=35,"26-35",IF(A1283&lt;=45,"36-45","46+")))</f>
        <v>26-35</v>
      </c>
      <c r="C1283" t="s">
        <v>35</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3">
      <c r="A1284">
        <v>33</v>
      </c>
      <c r="B1284" t="str">
        <f t="shared" si="20"/>
        <v>26-35</v>
      </c>
      <c r="C1284" t="s">
        <v>43</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3">
      <c r="A1285">
        <v>28</v>
      </c>
      <c r="B1285" t="str">
        <f t="shared" si="20"/>
        <v>26-35</v>
      </c>
      <c r="C1285" t="s">
        <v>43</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3">
      <c r="A1286">
        <v>39</v>
      </c>
      <c r="B1286" t="str">
        <f t="shared" si="20"/>
        <v>36-45</v>
      </c>
      <c r="C1286" t="s">
        <v>43</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3">
      <c r="A1287">
        <v>46</v>
      </c>
      <c r="B1287" t="str">
        <f t="shared" si="20"/>
        <v>46+</v>
      </c>
      <c r="C1287" t="s">
        <v>43</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3">
      <c r="A1288">
        <v>40</v>
      </c>
      <c r="B1288" t="str">
        <f t="shared" si="20"/>
        <v>36-45</v>
      </c>
      <c r="C1288" t="s">
        <v>43</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3">
      <c r="A1289">
        <v>42</v>
      </c>
      <c r="B1289" t="str">
        <f t="shared" si="20"/>
        <v>36-45</v>
      </c>
      <c r="C1289" t="s">
        <v>43</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3">
      <c r="A1290">
        <v>35</v>
      </c>
      <c r="B1290" t="str">
        <f t="shared" si="20"/>
        <v>26-35</v>
      </c>
      <c r="C1290" t="s">
        <v>43</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3">
      <c r="A1291">
        <v>38</v>
      </c>
      <c r="B1291" t="str">
        <f t="shared" si="20"/>
        <v>36-45</v>
      </c>
      <c r="C1291" t="s">
        <v>43</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3">
      <c r="A1292">
        <v>34</v>
      </c>
      <c r="B1292" t="str">
        <f t="shared" si="20"/>
        <v>26-35</v>
      </c>
      <c r="C1292" t="s">
        <v>35</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3">
      <c r="A1293">
        <v>37</v>
      </c>
      <c r="B1293" t="str">
        <f t="shared" si="20"/>
        <v>36-45</v>
      </c>
      <c r="C1293" t="s">
        <v>35</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3">
      <c r="A1294">
        <v>39</v>
      </c>
      <c r="B1294" t="str">
        <f t="shared" si="20"/>
        <v>36-45</v>
      </c>
      <c r="C1294" t="s">
        <v>43</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3">
      <c r="A1295">
        <v>43</v>
      </c>
      <c r="B1295" t="str">
        <f t="shared" si="20"/>
        <v>36-45</v>
      </c>
      <c r="C1295" t="s">
        <v>43</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3">
      <c r="A1296">
        <v>41</v>
      </c>
      <c r="B1296" t="str">
        <f t="shared" si="20"/>
        <v>36-45</v>
      </c>
      <c r="C1296" t="s">
        <v>43</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3">
      <c r="A1297">
        <v>41</v>
      </c>
      <c r="B1297" t="str">
        <f t="shared" si="20"/>
        <v>36-45</v>
      </c>
      <c r="C1297" t="s">
        <v>43</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3">
      <c r="A1298">
        <v>30</v>
      </c>
      <c r="B1298" t="str">
        <f t="shared" si="20"/>
        <v>26-35</v>
      </c>
      <c r="C1298" t="s">
        <v>43</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3">
      <c r="A1299">
        <v>26</v>
      </c>
      <c r="B1299" t="str">
        <f t="shared" si="20"/>
        <v>26-35</v>
      </c>
      <c r="C1299" t="s">
        <v>35</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3">
      <c r="A1300">
        <v>46</v>
      </c>
      <c r="B1300" t="str">
        <f t="shared" si="20"/>
        <v>46+</v>
      </c>
      <c r="C1300" t="s">
        <v>35</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3">
      <c r="A1301">
        <v>40</v>
      </c>
      <c r="B1301" t="str">
        <f t="shared" si="20"/>
        <v>36-45</v>
      </c>
      <c r="C1301" t="s">
        <v>43</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3">
      <c r="A1302">
        <v>34</v>
      </c>
      <c r="B1302" t="str">
        <f t="shared" si="20"/>
        <v>26-35</v>
      </c>
      <c r="C1302" t="s">
        <v>43</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3">
      <c r="A1303">
        <v>58</v>
      </c>
      <c r="B1303" t="str">
        <f t="shared" si="20"/>
        <v>46+</v>
      </c>
      <c r="C1303" t="s">
        <v>43</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3">
      <c r="A1304">
        <v>35</v>
      </c>
      <c r="B1304" t="str">
        <f t="shared" si="20"/>
        <v>26-35</v>
      </c>
      <c r="C1304" t="s">
        <v>43</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3">
      <c r="A1305">
        <v>47</v>
      </c>
      <c r="B1305" t="str">
        <f t="shared" si="20"/>
        <v>46+</v>
      </c>
      <c r="C1305" t="s">
        <v>43</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3">
      <c r="A1306">
        <v>40</v>
      </c>
      <c r="B1306" t="str">
        <f t="shared" si="20"/>
        <v>36-45</v>
      </c>
      <c r="C1306" t="s">
        <v>43</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3">
      <c r="A1307">
        <v>54</v>
      </c>
      <c r="B1307" t="str">
        <f t="shared" si="20"/>
        <v>46+</v>
      </c>
      <c r="C1307" t="s">
        <v>43</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3">
      <c r="A1308">
        <v>31</v>
      </c>
      <c r="B1308" t="str">
        <f t="shared" si="20"/>
        <v>26-35</v>
      </c>
      <c r="C1308" t="s">
        <v>43</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3">
      <c r="A1309">
        <v>28</v>
      </c>
      <c r="B1309" t="str">
        <f t="shared" si="20"/>
        <v>26-35</v>
      </c>
      <c r="C1309" t="s">
        <v>43</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3">
      <c r="A1310">
        <v>38</v>
      </c>
      <c r="B1310" t="str">
        <f t="shared" si="20"/>
        <v>36-45</v>
      </c>
      <c r="C1310" t="s">
        <v>43</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3">
      <c r="A1311">
        <v>26</v>
      </c>
      <c r="B1311" t="str">
        <f t="shared" si="20"/>
        <v>26-35</v>
      </c>
      <c r="C1311" t="s">
        <v>43</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3">
      <c r="A1312">
        <v>58</v>
      </c>
      <c r="B1312" t="str">
        <f t="shared" si="20"/>
        <v>46+</v>
      </c>
      <c r="C1312" t="s">
        <v>43</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3">
      <c r="A1313">
        <v>18</v>
      </c>
      <c r="B1313" t="str">
        <f t="shared" si="20"/>
        <v>18-25</v>
      </c>
      <c r="C1313" t="s">
        <v>43</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3">
      <c r="A1314">
        <v>31</v>
      </c>
      <c r="B1314" t="str">
        <f t="shared" si="20"/>
        <v>26-35</v>
      </c>
      <c r="C1314" t="s">
        <v>35</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3">
      <c r="A1315">
        <v>29</v>
      </c>
      <c r="B1315" t="str">
        <f t="shared" si="20"/>
        <v>26-35</v>
      </c>
      <c r="C1315" t="s">
        <v>35</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3">
      <c r="A1316">
        <v>45</v>
      </c>
      <c r="B1316" t="str">
        <f t="shared" si="20"/>
        <v>36-45</v>
      </c>
      <c r="C1316" t="s">
        <v>43</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3">
      <c r="A1317">
        <v>36</v>
      </c>
      <c r="B1317" t="str">
        <f t="shared" si="20"/>
        <v>36-45</v>
      </c>
      <c r="C1317" t="s">
        <v>43</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3">
      <c r="A1318">
        <v>43</v>
      </c>
      <c r="B1318" t="str">
        <f t="shared" si="20"/>
        <v>36-45</v>
      </c>
      <c r="C1318" t="s">
        <v>43</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3">
      <c r="A1319">
        <v>27</v>
      </c>
      <c r="B1319" t="str">
        <f t="shared" si="20"/>
        <v>26-35</v>
      </c>
      <c r="C1319" t="s">
        <v>43</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3">
      <c r="A1320">
        <v>29</v>
      </c>
      <c r="B1320" t="str">
        <f t="shared" si="20"/>
        <v>26-35</v>
      </c>
      <c r="C1320" t="s">
        <v>43</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3">
      <c r="A1321">
        <v>32</v>
      </c>
      <c r="B1321" t="str">
        <f t="shared" si="20"/>
        <v>26-35</v>
      </c>
      <c r="C1321" t="s">
        <v>43</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3">
      <c r="A1322">
        <v>42</v>
      </c>
      <c r="B1322" t="str">
        <f t="shared" si="20"/>
        <v>36-45</v>
      </c>
      <c r="C1322" t="s">
        <v>43</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3">
      <c r="A1323">
        <v>47</v>
      </c>
      <c r="B1323" t="str">
        <f t="shared" si="20"/>
        <v>46+</v>
      </c>
      <c r="C1323" t="s">
        <v>43</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3">
      <c r="A1324">
        <v>46</v>
      </c>
      <c r="B1324" t="str">
        <f t="shared" si="20"/>
        <v>46+</v>
      </c>
      <c r="C1324" t="s">
        <v>43</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3">
      <c r="A1325">
        <v>28</v>
      </c>
      <c r="B1325" t="str">
        <f t="shared" si="20"/>
        <v>26-35</v>
      </c>
      <c r="C1325" t="s">
        <v>43</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3">
      <c r="A1326">
        <v>29</v>
      </c>
      <c r="B1326" t="str">
        <f t="shared" si="20"/>
        <v>26-35</v>
      </c>
      <c r="C1326" t="s">
        <v>43</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3">
      <c r="A1327">
        <v>42</v>
      </c>
      <c r="B1327" t="str">
        <f t="shared" si="20"/>
        <v>36-45</v>
      </c>
      <c r="C1327" t="s">
        <v>43</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3">
      <c r="A1328">
        <v>32</v>
      </c>
      <c r="B1328" t="str">
        <f t="shared" si="20"/>
        <v>26-35</v>
      </c>
      <c r="C1328" t="s">
        <v>35</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3">
      <c r="A1329">
        <v>46</v>
      </c>
      <c r="B1329" t="str">
        <f t="shared" si="20"/>
        <v>46+</v>
      </c>
      <c r="C1329" t="s">
        <v>43</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3">
      <c r="A1330">
        <v>27</v>
      </c>
      <c r="B1330" t="str">
        <f t="shared" si="20"/>
        <v>26-35</v>
      </c>
      <c r="C1330" t="s">
        <v>43</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3">
      <c r="A1331">
        <v>29</v>
      </c>
      <c r="B1331" t="str">
        <f t="shared" si="20"/>
        <v>26-35</v>
      </c>
      <c r="C1331" t="s">
        <v>43</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3">
      <c r="A1332">
        <v>43</v>
      </c>
      <c r="B1332" t="str">
        <f t="shared" si="20"/>
        <v>36-45</v>
      </c>
      <c r="C1332" t="s">
        <v>43</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3">
      <c r="A1333">
        <v>48</v>
      </c>
      <c r="B1333" t="str">
        <f t="shared" si="20"/>
        <v>46+</v>
      </c>
      <c r="C1333" t="s">
        <v>43</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3">
      <c r="A1334">
        <v>29</v>
      </c>
      <c r="B1334" t="str">
        <f t="shared" si="20"/>
        <v>26-35</v>
      </c>
      <c r="C1334" t="s">
        <v>35</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3">
      <c r="A1335">
        <v>46</v>
      </c>
      <c r="B1335" t="str">
        <f t="shared" si="20"/>
        <v>46+</v>
      </c>
      <c r="C1335" t="s">
        <v>35</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3">
      <c r="A1336">
        <v>27</v>
      </c>
      <c r="B1336" t="str">
        <f t="shared" si="20"/>
        <v>26-35</v>
      </c>
      <c r="C1336" t="s">
        <v>43</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3">
      <c r="A1337">
        <v>39</v>
      </c>
      <c r="B1337" t="str">
        <f t="shared" si="20"/>
        <v>36-45</v>
      </c>
      <c r="C1337" t="s">
        <v>43</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3">
      <c r="A1338">
        <v>55</v>
      </c>
      <c r="B1338" t="str">
        <f t="shared" si="20"/>
        <v>46+</v>
      </c>
      <c r="C1338" t="s">
        <v>43</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3">
      <c r="A1339">
        <v>28</v>
      </c>
      <c r="B1339" t="str">
        <f t="shared" si="20"/>
        <v>26-35</v>
      </c>
      <c r="C1339" t="s">
        <v>43</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3">
      <c r="A1340">
        <v>30</v>
      </c>
      <c r="B1340" t="str">
        <f t="shared" si="20"/>
        <v>26-35</v>
      </c>
      <c r="C1340" t="s">
        <v>35</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3">
      <c r="A1341">
        <v>22</v>
      </c>
      <c r="B1341" t="str">
        <f t="shared" si="20"/>
        <v>18-25</v>
      </c>
      <c r="C1341" t="s">
        <v>35</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3">
      <c r="A1342">
        <v>36</v>
      </c>
      <c r="B1342" t="str">
        <f t="shared" si="20"/>
        <v>36-45</v>
      </c>
      <c r="C1342" t="s">
        <v>43</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3">
      <c r="A1343">
        <v>31</v>
      </c>
      <c r="B1343" t="str">
        <f t="shared" si="20"/>
        <v>26-35</v>
      </c>
      <c r="C1343" t="s">
        <v>43</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3">
      <c r="A1344">
        <v>34</v>
      </c>
      <c r="B1344" t="str">
        <f t="shared" si="20"/>
        <v>26-35</v>
      </c>
      <c r="C1344" t="s">
        <v>43</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3">
      <c r="A1345">
        <v>29</v>
      </c>
      <c r="B1345" t="str">
        <f t="shared" si="20"/>
        <v>26-35</v>
      </c>
      <c r="C1345" t="s">
        <v>43</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3">
      <c r="A1346">
        <v>37</v>
      </c>
      <c r="B1346" t="str">
        <f t="shared" si="20"/>
        <v>36-45</v>
      </c>
      <c r="C1346" t="s">
        <v>43</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3">
      <c r="A1347">
        <v>35</v>
      </c>
      <c r="B1347" t="str">
        <f t="shared" ref="B1347:B1410" si="21">IF(A1347&lt;=25,"18-25",IF(A1347&lt;=35,"26-35",IF(A1347&lt;=45,"36-45","46+")))</f>
        <v>26-35</v>
      </c>
      <c r="C1347" t="s">
        <v>43</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3">
      <c r="A1348">
        <v>45</v>
      </c>
      <c r="B1348" t="str">
        <f t="shared" si="21"/>
        <v>36-45</v>
      </c>
      <c r="C1348" t="s">
        <v>43</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3">
      <c r="A1349">
        <v>36</v>
      </c>
      <c r="B1349" t="str">
        <f t="shared" si="21"/>
        <v>36-45</v>
      </c>
      <c r="C1349" t="s">
        <v>43</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3">
      <c r="A1350">
        <v>40</v>
      </c>
      <c r="B1350" t="str">
        <f t="shared" si="21"/>
        <v>36-45</v>
      </c>
      <c r="C1350" t="s">
        <v>43</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3">
      <c r="A1351">
        <v>26</v>
      </c>
      <c r="B1351" t="str">
        <f t="shared" si="21"/>
        <v>26-35</v>
      </c>
      <c r="C1351" t="s">
        <v>43</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3">
      <c r="A1352">
        <v>27</v>
      </c>
      <c r="B1352" t="str">
        <f t="shared" si="21"/>
        <v>26-35</v>
      </c>
      <c r="C1352" t="s">
        <v>43</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3">
      <c r="A1353">
        <v>48</v>
      </c>
      <c r="B1353" t="str">
        <f t="shared" si="21"/>
        <v>46+</v>
      </c>
      <c r="C1353" t="s">
        <v>43</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3">
      <c r="A1354">
        <v>44</v>
      </c>
      <c r="B1354" t="str">
        <f t="shared" si="21"/>
        <v>36-45</v>
      </c>
      <c r="C1354" t="s">
        <v>43</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3">
      <c r="A1355">
        <v>34</v>
      </c>
      <c r="B1355" t="str">
        <f t="shared" si="21"/>
        <v>26-35</v>
      </c>
      <c r="C1355" t="s">
        <v>35</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3">
      <c r="A1356">
        <v>56</v>
      </c>
      <c r="B1356" t="str">
        <f t="shared" si="21"/>
        <v>46+</v>
      </c>
      <c r="C1356" t="s">
        <v>35</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3">
      <c r="A1357">
        <v>36</v>
      </c>
      <c r="B1357" t="str">
        <f t="shared" si="21"/>
        <v>36-45</v>
      </c>
      <c r="C1357" t="s">
        <v>43</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3">
      <c r="A1358">
        <v>41</v>
      </c>
      <c r="B1358" t="str">
        <f t="shared" si="21"/>
        <v>36-45</v>
      </c>
      <c r="C1358" t="s">
        <v>43</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3">
      <c r="A1359">
        <v>42</v>
      </c>
      <c r="B1359" t="str">
        <f t="shared" si="21"/>
        <v>36-45</v>
      </c>
      <c r="C1359" t="s">
        <v>43</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3">
      <c r="A1360">
        <v>31</v>
      </c>
      <c r="B1360" t="str">
        <f t="shared" si="21"/>
        <v>26-35</v>
      </c>
      <c r="C1360" t="s">
        <v>43</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3">
      <c r="A1361">
        <v>34</v>
      </c>
      <c r="B1361" t="str">
        <f t="shared" si="21"/>
        <v>26-35</v>
      </c>
      <c r="C1361" t="s">
        <v>43</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3">
      <c r="A1362">
        <v>31</v>
      </c>
      <c r="B1362" t="str">
        <f t="shared" si="21"/>
        <v>26-35</v>
      </c>
      <c r="C1362" t="s">
        <v>43</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3">
      <c r="A1363">
        <v>26</v>
      </c>
      <c r="B1363" t="str">
        <f t="shared" si="21"/>
        <v>26-35</v>
      </c>
      <c r="C1363" t="s">
        <v>43</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3">
      <c r="A1364">
        <v>45</v>
      </c>
      <c r="B1364" t="str">
        <f t="shared" si="21"/>
        <v>36-45</v>
      </c>
      <c r="C1364" t="s">
        <v>43</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3">
      <c r="A1365">
        <v>33</v>
      </c>
      <c r="B1365" t="str">
        <f t="shared" si="21"/>
        <v>26-35</v>
      </c>
      <c r="C1365" t="s">
        <v>43</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3">
      <c r="A1366">
        <v>28</v>
      </c>
      <c r="B1366" t="str">
        <f t="shared" si="21"/>
        <v>26-35</v>
      </c>
      <c r="C1366" t="s">
        <v>43</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3">
      <c r="A1367">
        <v>29</v>
      </c>
      <c r="B1367" t="str">
        <f t="shared" si="21"/>
        <v>26-35</v>
      </c>
      <c r="C1367" t="s">
        <v>35</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3">
      <c r="A1368">
        <v>39</v>
      </c>
      <c r="B1368" t="str">
        <f t="shared" si="21"/>
        <v>36-45</v>
      </c>
      <c r="C1368" t="s">
        <v>43</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3">
      <c r="A1369">
        <v>27</v>
      </c>
      <c r="B1369" t="str">
        <f t="shared" si="21"/>
        <v>26-35</v>
      </c>
      <c r="C1369" t="s">
        <v>43</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3">
      <c r="A1370">
        <v>34</v>
      </c>
      <c r="B1370" t="str">
        <f t="shared" si="21"/>
        <v>26-35</v>
      </c>
      <c r="C1370" t="s">
        <v>43</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3">
      <c r="A1371">
        <v>28</v>
      </c>
      <c r="B1371" t="str">
        <f t="shared" si="21"/>
        <v>26-35</v>
      </c>
      <c r="C1371" t="s">
        <v>35</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3">
      <c r="A1372">
        <v>47</v>
      </c>
      <c r="B1372" t="str">
        <f t="shared" si="21"/>
        <v>46+</v>
      </c>
      <c r="C1372" t="s">
        <v>43</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3">
      <c r="A1373">
        <v>56</v>
      </c>
      <c r="B1373" t="str">
        <f t="shared" si="21"/>
        <v>46+</v>
      </c>
      <c r="C1373" t="s">
        <v>43</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3">
      <c r="A1374">
        <v>39</v>
      </c>
      <c r="B1374" t="str">
        <f t="shared" si="21"/>
        <v>36-45</v>
      </c>
      <c r="C1374" t="s">
        <v>43</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3">
      <c r="A1375">
        <v>38</v>
      </c>
      <c r="B1375" t="str">
        <f t="shared" si="21"/>
        <v>36-45</v>
      </c>
      <c r="C1375" t="s">
        <v>43</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3">
      <c r="A1376">
        <v>58</v>
      </c>
      <c r="B1376" t="str">
        <f t="shared" si="21"/>
        <v>46+</v>
      </c>
      <c r="C1376" t="s">
        <v>43</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3">
      <c r="A1377">
        <v>32</v>
      </c>
      <c r="B1377" t="str">
        <f t="shared" si="21"/>
        <v>26-35</v>
      </c>
      <c r="C1377" t="s">
        <v>35</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3">
      <c r="A1378">
        <v>38</v>
      </c>
      <c r="B1378" t="str">
        <f t="shared" si="21"/>
        <v>36-45</v>
      </c>
      <c r="C1378" t="s">
        <v>43</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3">
      <c r="A1379">
        <v>49</v>
      </c>
      <c r="B1379" t="str">
        <f t="shared" si="21"/>
        <v>46+</v>
      </c>
      <c r="C1379" t="s">
        <v>43</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3">
      <c r="A1380">
        <v>42</v>
      </c>
      <c r="B1380" t="str">
        <f t="shared" si="21"/>
        <v>36-45</v>
      </c>
      <c r="C1380" t="s">
        <v>43</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3">
      <c r="A1381">
        <v>27</v>
      </c>
      <c r="B1381" t="str">
        <f t="shared" si="21"/>
        <v>26-35</v>
      </c>
      <c r="C1381" t="s">
        <v>35</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3">
      <c r="A1382">
        <v>35</v>
      </c>
      <c r="B1382" t="str">
        <f t="shared" si="21"/>
        <v>26-35</v>
      </c>
      <c r="C1382" t="s">
        <v>43</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3">
      <c r="A1383">
        <v>28</v>
      </c>
      <c r="B1383" t="str">
        <f t="shared" si="21"/>
        <v>26-35</v>
      </c>
      <c r="C1383" t="s">
        <v>43</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3">
      <c r="A1384">
        <v>31</v>
      </c>
      <c r="B1384" t="str">
        <f t="shared" si="21"/>
        <v>26-35</v>
      </c>
      <c r="C1384" t="s">
        <v>43</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3">
      <c r="A1385">
        <v>36</v>
      </c>
      <c r="B1385" t="str">
        <f t="shared" si="21"/>
        <v>36-45</v>
      </c>
      <c r="C1385" t="s">
        <v>43</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3">
      <c r="A1386">
        <v>34</v>
      </c>
      <c r="B1386" t="str">
        <f t="shared" si="21"/>
        <v>26-35</v>
      </c>
      <c r="C1386" t="s">
        <v>43</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3">
      <c r="A1387">
        <v>34</v>
      </c>
      <c r="B1387" t="str">
        <f t="shared" si="21"/>
        <v>26-35</v>
      </c>
      <c r="C1387" t="s">
        <v>43</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3">
      <c r="A1388">
        <v>26</v>
      </c>
      <c r="B1388" t="str">
        <f t="shared" si="21"/>
        <v>26-35</v>
      </c>
      <c r="C1388" t="s">
        <v>43</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3">
      <c r="A1389">
        <v>29</v>
      </c>
      <c r="B1389" t="str">
        <f t="shared" si="21"/>
        <v>26-35</v>
      </c>
      <c r="C1389" t="s">
        <v>43</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3">
      <c r="A1390">
        <v>32</v>
      </c>
      <c r="B1390" t="str">
        <f t="shared" si="21"/>
        <v>26-35</v>
      </c>
      <c r="C1390" t="s">
        <v>43</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3">
      <c r="A1391">
        <v>31</v>
      </c>
      <c r="B1391" t="str">
        <f t="shared" si="21"/>
        <v>26-35</v>
      </c>
      <c r="C1391" t="s">
        <v>43</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3">
      <c r="A1392">
        <v>28</v>
      </c>
      <c r="B1392" t="str">
        <f t="shared" si="21"/>
        <v>26-35</v>
      </c>
      <c r="C1392" t="s">
        <v>35</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3">
      <c r="A1393">
        <v>38</v>
      </c>
      <c r="B1393" t="str">
        <f t="shared" si="21"/>
        <v>36-45</v>
      </c>
      <c r="C1393" t="s">
        <v>43</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3">
      <c r="A1394">
        <v>35</v>
      </c>
      <c r="B1394" t="str">
        <f t="shared" si="21"/>
        <v>26-35</v>
      </c>
      <c r="C1394" t="s">
        <v>43</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3">
      <c r="A1395">
        <v>27</v>
      </c>
      <c r="B1395" t="str">
        <f t="shared" si="21"/>
        <v>26-35</v>
      </c>
      <c r="C1395" t="s">
        <v>43</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3">
      <c r="A1396">
        <v>32</v>
      </c>
      <c r="B1396" t="str">
        <f t="shared" si="21"/>
        <v>26-35</v>
      </c>
      <c r="C1396" t="s">
        <v>43</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3">
      <c r="A1397">
        <v>31</v>
      </c>
      <c r="B1397" t="str">
        <f t="shared" si="21"/>
        <v>26-35</v>
      </c>
      <c r="C1397" t="s">
        <v>35</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3">
      <c r="A1398">
        <v>53</v>
      </c>
      <c r="B1398" t="str">
        <f t="shared" si="21"/>
        <v>46+</v>
      </c>
      <c r="C1398" t="s">
        <v>35</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3">
      <c r="A1399">
        <v>54</v>
      </c>
      <c r="B1399" t="str">
        <f t="shared" si="21"/>
        <v>46+</v>
      </c>
      <c r="C1399" t="s">
        <v>43</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3">
      <c r="A1400">
        <v>33</v>
      </c>
      <c r="B1400" t="str">
        <f t="shared" si="21"/>
        <v>26-35</v>
      </c>
      <c r="C1400" t="s">
        <v>43</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3">
      <c r="A1401">
        <v>43</v>
      </c>
      <c r="B1401" t="str">
        <f t="shared" si="21"/>
        <v>36-45</v>
      </c>
      <c r="C1401" t="s">
        <v>43</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3">
      <c r="A1402">
        <v>38</v>
      </c>
      <c r="B1402" t="str">
        <f t="shared" si="21"/>
        <v>36-45</v>
      </c>
      <c r="C1402" t="s">
        <v>43</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3">
      <c r="A1403">
        <v>55</v>
      </c>
      <c r="B1403" t="str">
        <f t="shared" si="21"/>
        <v>46+</v>
      </c>
      <c r="C1403" t="s">
        <v>43</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3">
      <c r="A1404">
        <v>31</v>
      </c>
      <c r="B1404" t="str">
        <f t="shared" si="21"/>
        <v>26-35</v>
      </c>
      <c r="C1404" t="s">
        <v>43</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3">
      <c r="A1405">
        <v>39</v>
      </c>
      <c r="B1405" t="str">
        <f t="shared" si="21"/>
        <v>36-45</v>
      </c>
      <c r="C1405" t="s">
        <v>43</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3">
      <c r="A1406">
        <v>42</v>
      </c>
      <c r="B1406" t="str">
        <f t="shared" si="21"/>
        <v>36-45</v>
      </c>
      <c r="C1406" t="s">
        <v>43</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3">
      <c r="A1407">
        <v>31</v>
      </c>
      <c r="B1407" t="str">
        <f t="shared" si="21"/>
        <v>26-35</v>
      </c>
      <c r="C1407" t="s">
        <v>43</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3">
      <c r="A1408">
        <v>54</v>
      </c>
      <c r="B1408" t="str">
        <f t="shared" si="21"/>
        <v>46+</v>
      </c>
      <c r="C1408" t="s">
        <v>43</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3">
      <c r="A1409">
        <v>24</v>
      </c>
      <c r="B1409" t="str">
        <f t="shared" si="21"/>
        <v>18-25</v>
      </c>
      <c r="C1409" t="s">
        <v>43</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3">
      <c r="A1410">
        <v>23</v>
      </c>
      <c r="B1410" t="str">
        <f t="shared" si="21"/>
        <v>18-25</v>
      </c>
      <c r="C1410" t="s">
        <v>43</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3">
      <c r="A1411">
        <v>40</v>
      </c>
      <c r="B1411" t="str">
        <f t="shared" ref="B1411:B1471" si="22">IF(A1411&lt;=25,"18-25",IF(A1411&lt;=35,"26-35",IF(A1411&lt;=45,"36-45","46+")))</f>
        <v>36-45</v>
      </c>
      <c r="C1411" t="s">
        <v>43</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3">
      <c r="A1412">
        <v>40</v>
      </c>
      <c r="B1412" t="str">
        <f t="shared" si="22"/>
        <v>36-45</v>
      </c>
      <c r="C1412" t="s">
        <v>43</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3">
      <c r="A1413">
        <v>25</v>
      </c>
      <c r="B1413" t="str">
        <f t="shared" si="22"/>
        <v>18-25</v>
      </c>
      <c r="C1413" t="s">
        <v>43</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3">
      <c r="A1414">
        <v>30</v>
      </c>
      <c r="B1414" t="str">
        <f t="shared" si="22"/>
        <v>26-35</v>
      </c>
      <c r="C1414" t="s">
        <v>43</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3">
      <c r="A1415">
        <v>25</v>
      </c>
      <c r="B1415" t="str">
        <f t="shared" si="22"/>
        <v>18-25</v>
      </c>
      <c r="C1415" t="s">
        <v>43</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3">
      <c r="A1416">
        <v>47</v>
      </c>
      <c r="B1416" t="str">
        <f t="shared" si="22"/>
        <v>46+</v>
      </c>
      <c r="C1416" t="s">
        <v>43</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3">
      <c r="A1417">
        <v>33</v>
      </c>
      <c r="B1417" t="str">
        <f t="shared" si="22"/>
        <v>26-35</v>
      </c>
      <c r="C1417" t="s">
        <v>43</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3">
      <c r="A1418">
        <v>38</v>
      </c>
      <c r="B1418" t="str">
        <f t="shared" si="22"/>
        <v>36-45</v>
      </c>
      <c r="C1418" t="s">
        <v>43</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3">
      <c r="A1419">
        <v>31</v>
      </c>
      <c r="B1419" t="str">
        <f t="shared" si="22"/>
        <v>26-35</v>
      </c>
      <c r="C1419" t="s">
        <v>43</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3">
      <c r="A1420">
        <v>38</v>
      </c>
      <c r="B1420" t="str">
        <f t="shared" si="22"/>
        <v>36-45</v>
      </c>
      <c r="C1420" t="s">
        <v>43</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3">
      <c r="A1421">
        <v>42</v>
      </c>
      <c r="B1421" t="str">
        <f t="shared" si="22"/>
        <v>36-45</v>
      </c>
      <c r="C1421" t="s">
        <v>43</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3">
      <c r="A1422">
        <v>41</v>
      </c>
      <c r="B1422" t="str">
        <f t="shared" si="22"/>
        <v>36-45</v>
      </c>
      <c r="C1422" t="s">
        <v>43</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3">
      <c r="A1423">
        <v>47</v>
      </c>
      <c r="B1423" t="str">
        <f t="shared" si="22"/>
        <v>46+</v>
      </c>
      <c r="C1423" t="s">
        <v>43</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3">
      <c r="A1424">
        <v>35</v>
      </c>
      <c r="B1424" t="str">
        <f t="shared" si="22"/>
        <v>26-35</v>
      </c>
      <c r="C1424" t="s">
        <v>43</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3">
      <c r="A1425">
        <v>22</v>
      </c>
      <c r="B1425" t="str">
        <f t="shared" si="22"/>
        <v>18-25</v>
      </c>
      <c r="C1425" t="s">
        <v>43</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3">
      <c r="A1426">
        <v>35</v>
      </c>
      <c r="B1426" t="str">
        <f t="shared" si="22"/>
        <v>26-35</v>
      </c>
      <c r="C1426" t="s">
        <v>43</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3">
      <c r="A1427">
        <v>33</v>
      </c>
      <c r="B1427" t="str">
        <f t="shared" si="22"/>
        <v>26-35</v>
      </c>
      <c r="C1427" t="s">
        <v>43</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3">
      <c r="A1428">
        <v>32</v>
      </c>
      <c r="B1428" t="str">
        <f t="shared" si="22"/>
        <v>26-35</v>
      </c>
      <c r="C1428" t="s">
        <v>43</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3">
      <c r="A1429">
        <v>40</v>
      </c>
      <c r="B1429" t="str">
        <f t="shared" si="22"/>
        <v>36-45</v>
      </c>
      <c r="C1429" t="s">
        <v>43</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3">
      <c r="A1430">
        <v>32</v>
      </c>
      <c r="B1430" t="str">
        <f t="shared" si="22"/>
        <v>26-35</v>
      </c>
      <c r="C1430" t="s">
        <v>43</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3">
      <c r="A1431">
        <v>39</v>
      </c>
      <c r="B1431" t="str">
        <f t="shared" si="22"/>
        <v>36-45</v>
      </c>
      <c r="C1431" t="s">
        <v>43</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3">
      <c r="A1432">
        <v>38</v>
      </c>
      <c r="B1432" t="str">
        <f t="shared" si="22"/>
        <v>36-45</v>
      </c>
      <c r="C1432" t="s">
        <v>43</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3">
      <c r="A1433">
        <v>32</v>
      </c>
      <c r="B1433" t="str">
        <f t="shared" si="22"/>
        <v>26-35</v>
      </c>
      <c r="C1433" t="s">
        <v>43</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3">
      <c r="A1434">
        <v>37</v>
      </c>
      <c r="B1434" t="str">
        <f t="shared" si="22"/>
        <v>36-45</v>
      </c>
      <c r="C1434" t="s">
        <v>43</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3">
      <c r="A1435">
        <v>25</v>
      </c>
      <c r="B1435" t="str">
        <f t="shared" si="22"/>
        <v>18-25</v>
      </c>
      <c r="C1435" t="s">
        <v>43</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3">
      <c r="A1436">
        <v>52</v>
      </c>
      <c r="B1436" t="str">
        <f t="shared" si="22"/>
        <v>46+</v>
      </c>
      <c r="C1436" t="s">
        <v>43</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3">
      <c r="A1437">
        <v>44</v>
      </c>
      <c r="B1437" t="str">
        <f t="shared" si="22"/>
        <v>36-45</v>
      </c>
      <c r="C1437" t="s">
        <v>43</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3">
      <c r="A1438">
        <v>21</v>
      </c>
      <c r="B1438" t="str">
        <f t="shared" si="22"/>
        <v>18-25</v>
      </c>
      <c r="C1438" t="s">
        <v>43</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3">
      <c r="A1439">
        <v>39</v>
      </c>
      <c r="B1439" t="str">
        <f t="shared" si="22"/>
        <v>36-45</v>
      </c>
      <c r="C1439" t="s">
        <v>43</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3">
      <c r="A1440">
        <v>23</v>
      </c>
      <c r="B1440" t="str">
        <f t="shared" si="22"/>
        <v>18-25</v>
      </c>
      <c r="C1440" t="s">
        <v>35</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3">
      <c r="A1441">
        <v>36</v>
      </c>
      <c r="B1441" t="str">
        <f t="shared" si="22"/>
        <v>36-45</v>
      </c>
      <c r="C1441" t="s">
        <v>43</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3">
      <c r="A1442">
        <v>36</v>
      </c>
      <c r="B1442" t="str">
        <f t="shared" si="22"/>
        <v>36-45</v>
      </c>
      <c r="C1442" t="s">
        <v>43</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3">
      <c r="A1443">
        <v>56</v>
      </c>
      <c r="B1443" t="str">
        <f t="shared" si="22"/>
        <v>46+</v>
      </c>
      <c r="C1443" t="s">
        <v>43</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3">
      <c r="A1444">
        <v>29</v>
      </c>
      <c r="B1444" t="str">
        <f t="shared" si="22"/>
        <v>26-35</v>
      </c>
      <c r="C1444" t="s">
        <v>35</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3">
      <c r="A1445">
        <v>42</v>
      </c>
      <c r="B1445" t="str">
        <f t="shared" si="22"/>
        <v>36-45</v>
      </c>
      <c r="C1445" t="s">
        <v>43</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3">
      <c r="A1446">
        <v>56</v>
      </c>
      <c r="B1446" t="str">
        <f t="shared" si="22"/>
        <v>46+</v>
      </c>
      <c r="C1446" t="s">
        <v>35</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3">
      <c r="A1447">
        <v>41</v>
      </c>
      <c r="B1447" t="str">
        <f t="shared" si="22"/>
        <v>36-45</v>
      </c>
      <c r="C1447" t="s">
        <v>43</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3">
      <c r="A1448">
        <v>34</v>
      </c>
      <c r="B1448" t="str">
        <f t="shared" si="22"/>
        <v>26-35</v>
      </c>
      <c r="C1448" t="s">
        <v>43</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3">
      <c r="A1449">
        <v>36</v>
      </c>
      <c r="B1449" t="str">
        <f t="shared" si="22"/>
        <v>36-45</v>
      </c>
      <c r="C1449" t="s">
        <v>43</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3">
      <c r="A1450">
        <v>41</v>
      </c>
      <c r="B1450" t="str">
        <f t="shared" si="22"/>
        <v>36-45</v>
      </c>
      <c r="C1450" t="s">
        <v>43</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3">
      <c r="A1451">
        <v>32</v>
      </c>
      <c r="B1451" t="str">
        <f t="shared" si="22"/>
        <v>26-35</v>
      </c>
      <c r="C1451" t="s">
        <v>43</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3">
      <c r="A1452">
        <v>35</v>
      </c>
      <c r="B1452" t="str">
        <f t="shared" si="22"/>
        <v>26-35</v>
      </c>
      <c r="C1452" t="s">
        <v>43</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3">
      <c r="A1453">
        <v>38</v>
      </c>
      <c r="B1453" t="str">
        <f t="shared" si="22"/>
        <v>36-45</v>
      </c>
      <c r="C1453" t="s">
        <v>43</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3">
      <c r="A1454">
        <v>50</v>
      </c>
      <c r="B1454" t="str">
        <f t="shared" si="22"/>
        <v>46+</v>
      </c>
      <c r="C1454" t="s">
        <v>35</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3">
      <c r="A1455">
        <v>36</v>
      </c>
      <c r="B1455" t="str">
        <f t="shared" si="22"/>
        <v>36-45</v>
      </c>
      <c r="C1455" t="s">
        <v>43</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3">
      <c r="A1456">
        <v>45</v>
      </c>
      <c r="B1456" t="str">
        <f t="shared" si="22"/>
        <v>36-45</v>
      </c>
      <c r="C1456" t="s">
        <v>43</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3">
      <c r="A1457">
        <v>40</v>
      </c>
      <c r="B1457" t="str">
        <f t="shared" si="22"/>
        <v>36-45</v>
      </c>
      <c r="C1457" t="s">
        <v>43</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3">
      <c r="A1458">
        <v>35</v>
      </c>
      <c r="B1458" t="str">
        <f t="shared" si="22"/>
        <v>26-35</v>
      </c>
      <c r="C1458" t="s">
        <v>43</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3">
      <c r="A1459">
        <v>40</v>
      </c>
      <c r="B1459" t="str">
        <f t="shared" si="22"/>
        <v>36-45</v>
      </c>
      <c r="C1459" t="s">
        <v>43</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3">
      <c r="A1460">
        <v>35</v>
      </c>
      <c r="B1460" t="str">
        <f t="shared" si="22"/>
        <v>26-35</v>
      </c>
      <c r="C1460" t="s">
        <v>43</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3">
      <c r="A1461">
        <v>29</v>
      </c>
      <c r="B1461" t="str">
        <f t="shared" si="22"/>
        <v>26-35</v>
      </c>
      <c r="C1461" t="s">
        <v>43</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3">
      <c r="A1462">
        <v>29</v>
      </c>
      <c r="B1462" t="str">
        <f t="shared" si="22"/>
        <v>26-35</v>
      </c>
      <c r="C1462" t="s">
        <v>43</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3">
      <c r="A1463">
        <v>50</v>
      </c>
      <c r="B1463" t="str">
        <f t="shared" si="22"/>
        <v>46+</v>
      </c>
      <c r="C1463" t="s">
        <v>35</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3">
      <c r="A1464">
        <v>39</v>
      </c>
      <c r="B1464" t="str">
        <f t="shared" si="22"/>
        <v>36-45</v>
      </c>
      <c r="C1464" t="s">
        <v>43</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3">
      <c r="A1465">
        <v>31</v>
      </c>
      <c r="B1465" t="str">
        <f t="shared" si="22"/>
        <v>26-35</v>
      </c>
      <c r="C1465" t="s">
        <v>43</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3">
      <c r="A1466">
        <v>26</v>
      </c>
      <c r="B1466" t="str">
        <f t="shared" si="22"/>
        <v>26-35</v>
      </c>
      <c r="C1466" t="s">
        <v>43</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3">
      <c r="A1467">
        <v>36</v>
      </c>
      <c r="B1467" t="str">
        <f t="shared" si="22"/>
        <v>36-45</v>
      </c>
      <c r="C1467" t="s">
        <v>43</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3">
      <c r="A1468">
        <v>39</v>
      </c>
      <c r="B1468" t="str">
        <f t="shared" si="22"/>
        <v>36-45</v>
      </c>
      <c r="C1468" t="s">
        <v>43</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3">
      <c r="A1469">
        <v>27</v>
      </c>
      <c r="B1469" t="str">
        <f t="shared" si="22"/>
        <v>26-35</v>
      </c>
      <c r="C1469" t="s">
        <v>43</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3">
      <c r="A1470">
        <v>49</v>
      </c>
      <c r="B1470" t="str">
        <f t="shared" si="22"/>
        <v>46+</v>
      </c>
      <c r="C1470" t="s">
        <v>43</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3">
      <c r="A1471">
        <v>34</v>
      </c>
      <c r="B1471" t="str">
        <f t="shared" si="22"/>
        <v>26-35</v>
      </c>
      <c r="C1471" t="s">
        <v>43</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dashboard</vt:lpstr>
      <vt:lpstr>RATING</vt:lpstr>
      <vt:lpstr>Sheet5</vt:lpstr>
      <vt:lpstr>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SABITA RAY</dc:creator>
  <cp:lastModifiedBy>SABITA RAY</cp:lastModifiedBy>
  <dcterms:created xsi:type="dcterms:W3CDTF">2026-02-14T12:39:20Z</dcterms:created>
  <dcterms:modified xsi:type="dcterms:W3CDTF">2026-09-25T17:16:01Z</dcterms:modified>
</cp:coreProperties>
</file>